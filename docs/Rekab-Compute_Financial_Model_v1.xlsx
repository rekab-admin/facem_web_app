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00" yWindow="-4360" windowWidth="38400" windowHeight="21600" tabRatio="500" firstSheet="0" activeTab="0" autoFilterDateGrouping="1"/>
  </bookViews>
  <sheets>
    <sheet xmlns:r="http://schemas.openxmlformats.org/officeDocument/2006/relationships" name="P&amp;L (Conservative)" sheetId="1" state="visible" r:id="rId1"/>
    <sheet xmlns:r="http://schemas.openxmlformats.org/officeDocument/2006/relationships" name="P&amp;L (Aggressive)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cenarios Summary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#,##0;\(#,##0\);\-"/>
    <numFmt numFmtId="167" formatCode="0.0"/>
    <numFmt numFmtId="168" formatCode="0.0\x"/>
  </numFmts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9"/>
    </font>
    <font>
      <name val="Arial"/>
      <family val="2"/>
      <b val="1"/>
      <color rgb="FF2F75B6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75B6"/>
        <bgColor rgb="FF0066CC"/>
      </patternFill>
    </fill>
    <fill>
      <patternFill patternType="solid">
        <fgColor rgb="FFD9E1F2"/>
        <bgColor rgb="FFEBF5EB"/>
      </patternFill>
    </fill>
    <fill>
      <patternFill patternType="solid">
        <fgColor rgb="FFF5F5F5"/>
        <bgColor rgb="FFEBF5EB"/>
      </patternFill>
    </fill>
    <fill>
      <patternFill patternType="solid">
        <fgColor rgb="FFEBF5EB"/>
        <bgColor rgb="FFF5F5F5"/>
      </patternFill>
    </fill>
    <fill>
      <patternFill patternType="solid">
        <fgColor rgb="FFFFE8E8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FE8E8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pivotButton="0" quotePrefix="0" xfId="0"/>
    <xf numFmtId="0" fontId="5" fillId="5" borderId="0" applyAlignment="1" pivotButton="0" quotePrefix="0" xfId="0">
      <alignment horizontal="left" vertical="center" indent="2"/>
    </xf>
    <xf numFmtId="0" fontId="0" fillId="5" borderId="0" pivotButton="0" quotePrefix="0" xfId="0"/>
    <xf numFmtId="16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2"/>
    </xf>
    <xf numFmtId="164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6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0" fontId="5" fillId="0" borderId="0" pivotButton="0" quotePrefix="0" xfId="0"/>
    <xf numFmtId="166" fontId="7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indent="2"/>
    </xf>
    <xf numFmtId="164" fontId="7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2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6" fillId="9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5" borderId="0" pivotButton="0" quotePrefix="0" xfId="0"/>
    <xf numFmtId="0" fontId="4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BF5E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8E8"/>
      <rgbColor rgb="FF99CCFF"/>
      <rgbColor rgb="FFFF99CC"/>
      <rgbColor rgb="FFCC99FF"/>
      <rgbColor rgb="FFFFC7CE"/>
      <rgbColor rgb="FF2F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:Z1"/>
    </sheetView>
  </sheetViews>
  <sheetFormatPr baseColWidth="10" defaultColWidth="8.6640625" defaultRowHeight="15"/>
  <cols>
    <col width="36" customWidth="1" min="1" max="1"/>
    <col width="5" customWidth="1" min="2" max="2"/>
    <col width="11" customWidth="1" min="3" max="22"/>
    <col width="13" customWidth="1" min="23" max="26"/>
  </cols>
  <sheetData>
    <row r="1" ht="27.75" customHeight="1">
      <c r="A1" s="4" t="inlineStr">
        <is>
          <t>REKAB-COMPUTE — 3-YEAR P&amp;L PROJECTION  |  CONSERVATIVE SCENARIO</t>
        </is>
      </c>
    </row>
    <row r="2" ht="18" customHeight="1">
      <c r="A2" s="5" t="inlineStr">
        <is>
          <t>All figures in USD. Blue = input assumption. Black = formula. Green = cross-sheet link. Parentheses denote losses.</t>
        </is>
      </c>
    </row>
    <row r="3">
      <c r="C3" s="6" t="inlineStr">
        <is>
          <t>M1</t>
        </is>
      </c>
      <c r="D3" s="6" t="inlineStr">
        <is>
          <t>M2</t>
        </is>
      </c>
      <c r="E3" s="6" t="inlineStr">
        <is>
          <t>M3</t>
        </is>
      </c>
      <c r="F3" s="6" t="inlineStr">
        <is>
          <t>M4</t>
        </is>
      </c>
      <c r="G3" s="6" t="inlineStr">
        <is>
          <t>M5</t>
        </is>
      </c>
      <c r="H3" s="6" t="inlineStr">
        <is>
          <t>M6</t>
        </is>
      </c>
      <c r="I3" s="6" t="inlineStr">
        <is>
          <t>M7</t>
        </is>
      </c>
      <c r="J3" s="6" t="inlineStr">
        <is>
          <t>M8</t>
        </is>
      </c>
      <c r="K3" s="6" t="inlineStr">
        <is>
          <t>M9</t>
        </is>
      </c>
      <c r="L3" s="6" t="inlineStr">
        <is>
          <t>M10</t>
        </is>
      </c>
      <c r="M3" s="6" t="inlineStr">
        <is>
          <t>M11</t>
        </is>
      </c>
      <c r="N3" s="6" t="inlineStr">
        <is>
          <t>M12</t>
        </is>
      </c>
      <c r="O3" s="6" t="inlineStr">
        <is>
          <t>Y2 Q1</t>
        </is>
      </c>
      <c r="P3" s="6" t="inlineStr">
        <is>
          <t>Y2 Q2</t>
        </is>
      </c>
      <c r="Q3" s="6" t="inlineStr">
        <is>
          <t>Y2 Q3</t>
        </is>
      </c>
      <c r="R3" s="6" t="inlineStr">
        <is>
          <t>Y2 Q4</t>
        </is>
      </c>
      <c r="S3" s="6" t="inlineStr">
        <is>
          <t>Y3 Q1</t>
        </is>
      </c>
      <c r="T3" s="6" t="inlineStr">
        <is>
          <t>Y3 Q2</t>
        </is>
      </c>
      <c r="U3" s="6" t="inlineStr">
        <is>
          <t>Y3 Q3</t>
        </is>
      </c>
      <c r="V3" s="6" t="inlineStr">
        <is>
          <t>Y3 Q4</t>
        </is>
      </c>
      <c r="W3" s="7" t="inlineStr">
        <is>
          <t>Year 1 Total</t>
        </is>
      </c>
      <c r="X3" s="7" t="inlineStr">
        <is>
          <t>Year 2 Total</t>
        </is>
      </c>
      <c r="Y3" s="7" t="inlineStr">
        <is>
          <t>Year 3 Total</t>
        </is>
      </c>
      <c r="Z3" s="7" t="inlineStr">
        <is>
          <t>3-Year Total</t>
        </is>
      </c>
    </row>
    <row r="4">
      <c r="A4" s="8" t="inlineStr">
        <is>
          <t>REVENUE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0" t="inlineStr">
        <is>
          <t>B2B API Revenue</t>
        </is>
      </c>
      <c r="B5" s="11" t="n"/>
      <c r="C5" s="12" t="n">
        <v>0</v>
      </c>
      <c r="D5" s="12" t="n">
        <v>0</v>
      </c>
      <c r="E5" s="12" t="n">
        <v>150</v>
      </c>
      <c r="F5" s="12" t="n">
        <v>375</v>
      </c>
      <c r="G5" s="12" t="n">
        <v>600</v>
      </c>
      <c r="H5" s="12" t="n">
        <v>900</v>
      </c>
      <c r="I5" s="12" t="n">
        <v>1200</v>
      </c>
      <c r="J5" s="12" t="n">
        <v>1500</v>
      </c>
      <c r="K5" s="12" t="n">
        <v>1800</v>
      </c>
      <c r="L5" s="12" t="n">
        <v>2025</v>
      </c>
      <c r="M5" s="12" t="n">
        <v>2250</v>
      </c>
      <c r="N5" s="12" t="n">
        <v>2475</v>
      </c>
      <c r="O5" s="12" t="n">
        <v>14400</v>
      </c>
      <c r="P5" s="12" t="n">
        <v>18720</v>
      </c>
      <c r="Q5" s="12" t="n">
        <v>23400</v>
      </c>
      <c r="R5" s="12" t="n">
        <v>28800</v>
      </c>
      <c r="S5" s="12" t="n">
        <v>48000</v>
      </c>
      <c r="T5" s="12" t="n">
        <v>62400</v>
      </c>
      <c r="U5" s="12" t="n">
        <v>79200</v>
      </c>
      <c r="V5" s="12" t="n">
        <v>96000</v>
      </c>
      <c r="W5" s="12">
        <f>SUM(C5:N5)</f>
        <v/>
      </c>
      <c r="X5" s="12">
        <f>SUM(O5:R5)</f>
        <v/>
      </c>
      <c r="Y5" s="12">
        <f>SUM(S5:V5)</f>
        <v/>
      </c>
      <c r="Z5" s="12">
        <f>W5+X5+Y5</f>
        <v/>
      </c>
    </row>
    <row r="6">
      <c r="A6" s="13" t="inlineStr">
        <is>
          <t>B2B Optical Retail SaaS Revenue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5370</v>
      </c>
      <c r="P6" s="14" t="n">
        <v>10740</v>
      </c>
      <c r="Q6" s="14" t="n">
        <v>16110</v>
      </c>
      <c r="R6" s="14" t="n">
        <v>21480</v>
      </c>
      <c r="S6" s="14" t="n">
        <v>32220</v>
      </c>
      <c r="T6" s="14" t="n">
        <v>42960</v>
      </c>
      <c r="U6" s="14" t="n">
        <v>53700</v>
      </c>
      <c r="V6" s="14" t="n">
        <v>67125</v>
      </c>
      <c r="W6" s="14">
        <f>SUM(C6:N6)</f>
        <v/>
      </c>
      <c r="X6" s="14">
        <f>SUM(O6:R6)</f>
        <v/>
      </c>
      <c r="Y6" s="14">
        <f>SUM(S6:V6)</f>
        <v/>
      </c>
      <c r="Z6" s="14">
        <f>W6+X6+Y6</f>
        <v/>
      </c>
    </row>
    <row r="7">
      <c r="A7" s="10" t="inlineStr">
        <is>
          <t>B2C Consumer Revenue</t>
        </is>
      </c>
      <c r="B7" s="11" t="n"/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9576</v>
      </c>
      <c r="R7" s="12" t="n">
        <v>23940</v>
      </c>
      <c r="S7" s="12" t="n">
        <v>47880</v>
      </c>
      <c r="T7" s="12" t="n">
        <v>65835</v>
      </c>
      <c r="U7" s="12" t="n">
        <v>83790</v>
      </c>
      <c r="V7" s="12" t="n">
        <v>107730</v>
      </c>
      <c r="W7" s="12">
        <f>SUM(C7:N7)</f>
        <v/>
      </c>
      <c r="X7" s="12">
        <f>SUM(O7:R7)</f>
        <v/>
      </c>
      <c r="Y7" s="12">
        <f>SUM(S7:V7)</f>
        <v/>
      </c>
      <c r="Z7" s="12">
        <f>W7+X7+Y7</f>
        <v/>
      </c>
    </row>
    <row r="8">
      <c r="A8" s="15" t="inlineStr">
        <is>
          <t>Total Revenue</t>
        </is>
      </c>
      <c r="B8" s="16" t="n"/>
      <c r="C8" s="17" t="n">
        <v>0</v>
      </c>
      <c r="D8" s="17" t="n">
        <v>0</v>
      </c>
      <c r="E8" s="17" t="n">
        <v>150</v>
      </c>
      <c r="F8" s="17" t="n">
        <v>375</v>
      </c>
      <c r="G8" s="17" t="n">
        <v>600</v>
      </c>
      <c r="H8" s="17" t="n">
        <v>900</v>
      </c>
      <c r="I8" s="17" t="n">
        <v>1200</v>
      </c>
      <c r="J8" s="17" t="n">
        <v>1500</v>
      </c>
      <c r="K8" s="17" t="n">
        <v>1800</v>
      </c>
      <c r="L8" s="17" t="n">
        <v>2025</v>
      </c>
      <c r="M8" s="17" t="n">
        <v>2250</v>
      </c>
      <c r="N8" s="17" t="n">
        <v>2475</v>
      </c>
      <c r="O8" s="17" t="n">
        <v>19770</v>
      </c>
      <c r="P8" s="17" t="n">
        <v>29460</v>
      </c>
      <c r="Q8" s="17" t="n">
        <v>49086</v>
      </c>
      <c r="R8" s="17" t="n">
        <v>74220</v>
      </c>
      <c r="S8" s="17" t="n">
        <v>128100</v>
      </c>
      <c r="T8" s="17" t="n">
        <v>171195</v>
      </c>
      <c r="U8" s="17" t="n">
        <v>216690</v>
      </c>
      <c r="V8" s="17" t="n">
        <v>270855</v>
      </c>
      <c r="W8" s="17">
        <f>SUM(C8:N8)</f>
        <v/>
      </c>
      <c r="X8" s="17">
        <f>SUM(O8:R8)</f>
        <v/>
      </c>
      <c r="Y8" s="17">
        <f>SUM(S8:V8)</f>
        <v/>
      </c>
      <c r="Z8" s="17">
        <f>W8+X8+Y8</f>
        <v/>
      </c>
    </row>
    <row r="9"/>
    <row r="10">
      <c r="A10" s="8" t="inlineStr">
        <is>
          <t>COST OF REVENUE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10" t="inlineStr">
        <is>
          <t>Infrastructure &amp; ML Inference</t>
        </is>
      </c>
      <c r="B11" s="11" t="n"/>
      <c r="C11" s="12" t="n">
        <v>300</v>
      </c>
      <c r="D11" s="12" t="n">
        <v>300</v>
      </c>
      <c r="E11" s="12" t="n">
        <v>300</v>
      </c>
      <c r="F11" s="12" t="n">
        <v>300</v>
      </c>
      <c r="G11" s="12" t="n">
        <v>300</v>
      </c>
      <c r="H11" s="12" t="n">
        <v>300</v>
      </c>
      <c r="I11" s="12" t="n">
        <v>600</v>
      </c>
      <c r="J11" s="12" t="n">
        <v>600</v>
      </c>
      <c r="K11" s="12" t="n">
        <v>600</v>
      </c>
      <c r="L11" s="12" t="n">
        <v>1000</v>
      </c>
      <c r="M11" s="12" t="n">
        <v>1000</v>
      </c>
      <c r="N11" s="12" t="n">
        <v>1000</v>
      </c>
      <c r="O11" s="12" t="n">
        <v>2000</v>
      </c>
      <c r="P11" s="12" t="n">
        <v>3000</v>
      </c>
      <c r="Q11" s="12" t="n">
        <v>4500</v>
      </c>
      <c r="R11" s="12" t="n">
        <v>6000</v>
      </c>
      <c r="S11" s="12" t="n">
        <v>8000</v>
      </c>
      <c r="T11" s="12" t="n">
        <v>10000</v>
      </c>
      <c r="U11" s="12" t="n">
        <v>12000</v>
      </c>
      <c r="V11" s="12" t="n">
        <v>15000</v>
      </c>
      <c r="W11" s="12">
        <f>SUM(C11:N11)</f>
        <v/>
      </c>
      <c r="X11" s="12">
        <f>SUM(O11:R11)</f>
        <v/>
      </c>
      <c r="Y11" s="12">
        <f>SUM(S11:V11)</f>
        <v/>
      </c>
      <c r="Z11" s="12">
        <f>W11+X11+Y11</f>
        <v/>
      </c>
    </row>
    <row r="12">
      <c r="A12" s="15" t="inlineStr">
        <is>
          <t>Total Cost of Revenue</t>
        </is>
      </c>
      <c r="B12" s="16" t="n"/>
      <c r="C12" s="17" t="n">
        <v>300</v>
      </c>
      <c r="D12" s="17" t="n">
        <v>300</v>
      </c>
      <c r="E12" s="17" t="n">
        <v>300</v>
      </c>
      <c r="F12" s="17" t="n">
        <v>300</v>
      </c>
      <c r="G12" s="17" t="n">
        <v>300</v>
      </c>
      <c r="H12" s="17" t="n">
        <v>300</v>
      </c>
      <c r="I12" s="17" t="n">
        <v>600</v>
      </c>
      <c r="J12" s="17" t="n">
        <v>600</v>
      </c>
      <c r="K12" s="17" t="n">
        <v>600</v>
      </c>
      <c r="L12" s="17" t="n">
        <v>1000</v>
      </c>
      <c r="M12" s="17" t="n">
        <v>1000</v>
      </c>
      <c r="N12" s="17" t="n">
        <v>1000</v>
      </c>
      <c r="O12" s="17" t="n">
        <v>4135</v>
      </c>
      <c r="P12" s="17" t="n">
        <v>6052</v>
      </c>
      <c r="Q12" s="17" t="n">
        <v>9197</v>
      </c>
      <c r="R12" s="17" t="n">
        <v>13075</v>
      </c>
      <c r="S12" s="17" t="n">
        <v>22105</v>
      </c>
      <c r="T12" s="17" t="n">
        <v>29361</v>
      </c>
      <c r="U12" s="17" t="n">
        <v>37145</v>
      </c>
      <c r="V12" s="17" t="n">
        <v>46130</v>
      </c>
      <c r="W12" s="17">
        <f>SUM(C12:N12)</f>
        <v/>
      </c>
      <c r="X12" s="17">
        <f>SUM(O12:R12)</f>
        <v/>
      </c>
      <c r="Y12" s="17">
        <f>SUM(S12:V12)</f>
        <v/>
      </c>
      <c r="Z12" s="17">
        <f>W12+X12+Y12</f>
        <v/>
      </c>
    </row>
    <row r="13"/>
    <row r="14">
      <c r="A14" s="18" t="inlineStr">
        <is>
          <t>GROSS PROFIT</t>
        </is>
      </c>
      <c r="B14" s="19" t="n"/>
      <c r="C14" s="20" t="n">
        <v>-300</v>
      </c>
      <c r="D14" s="20" t="n">
        <v>-300</v>
      </c>
      <c r="E14" s="20" t="n">
        <v>-150</v>
      </c>
      <c r="F14" s="20" t="n">
        <v>75</v>
      </c>
      <c r="G14" s="20" t="n">
        <v>300</v>
      </c>
      <c r="H14" s="20" t="n">
        <v>600</v>
      </c>
      <c r="I14" s="20" t="n">
        <v>600</v>
      </c>
      <c r="J14" s="20" t="n">
        <v>900</v>
      </c>
      <c r="K14" s="20" t="n">
        <v>1200</v>
      </c>
      <c r="L14" s="20" t="n">
        <v>1025</v>
      </c>
      <c r="M14" s="20" t="n">
        <v>1250</v>
      </c>
      <c r="N14" s="20" t="n">
        <v>1475</v>
      </c>
      <c r="O14" s="20" t="n">
        <v>15635</v>
      </c>
      <c r="P14" s="20" t="n">
        <v>23408</v>
      </c>
      <c r="Q14" s="20" t="n">
        <v>39889</v>
      </c>
      <c r="R14" s="20" t="n">
        <v>61145</v>
      </c>
      <c r="S14" s="20" t="n">
        <v>105995</v>
      </c>
      <c r="T14" s="20" t="n">
        <v>141834</v>
      </c>
      <c r="U14" s="20" t="n">
        <v>179545</v>
      </c>
      <c r="V14" s="20" t="n">
        <v>224725</v>
      </c>
      <c r="W14" s="20">
        <f>SUM(C14:N14)</f>
        <v/>
      </c>
      <c r="X14" s="20">
        <f>SUM(O14:R14)</f>
        <v/>
      </c>
      <c r="Y14" s="20">
        <f>SUM(S14:V14)</f>
        <v/>
      </c>
      <c r="Z14" s="20">
        <f>W14+X14+Y14</f>
        <v/>
      </c>
    </row>
    <row r="15">
      <c r="A15" s="13" t="inlineStr">
        <is>
          <t>Gross Margin %</t>
        </is>
      </c>
      <c r="C15" s="21" t="n">
        <v>0</v>
      </c>
      <c r="D15" s="21" t="n">
        <v>0</v>
      </c>
      <c r="E15" s="21" t="n">
        <v>-1</v>
      </c>
      <c r="F15" s="21" t="n">
        <v>0</v>
      </c>
      <c r="G15" s="21" t="n">
        <v>0</v>
      </c>
      <c r="H15" s="21" t="n">
        <v>1</v>
      </c>
      <c r="I15" s="21" t="n">
        <v>0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1" t="n">
        <v>1</v>
      </c>
      <c r="R15" s="21" t="n">
        <v>1</v>
      </c>
      <c r="S15" s="21" t="n">
        <v>1</v>
      </c>
      <c r="T15" s="21" t="n">
        <v>1</v>
      </c>
      <c r="U15" s="21" t="n">
        <v>1</v>
      </c>
      <c r="V15" s="21" t="n">
        <v>1</v>
      </c>
      <c r="W15" s="21">
        <f>SUM(C15:N15)</f>
        <v/>
      </c>
      <c r="X15" s="21">
        <f>SUM(O15:R15)</f>
        <v/>
      </c>
      <c r="Y15" s="21">
        <f>SUM(S15:V15)</f>
        <v/>
      </c>
      <c r="Z15" s="21">
        <f>W15+X15+Y15</f>
        <v/>
      </c>
    </row>
    <row r="16"/>
    <row r="17">
      <c r="A17" s="8" t="inlineStr">
        <is>
          <t>OPERATING EXPENSES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10" t="inlineStr">
        <is>
          <t>Salaries &amp; Benefits</t>
        </is>
      </c>
      <c r="B18" s="11" t="n"/>
      <c r="C18" s="12" t="n">
        <v>5000</v>
      </c>
      <c r="D18" s="12" t="n">
        <v>5000</v>
      </c>
      <c r="E18" s="12" t="n">
        <v>5000</v>
      </c>
      <c r="F18" s="12" t="n">
        <v>5000</v>
      </c>
      <c r="G18" s="12" t="n">
        <v>5000</v>
      </c>
      <c r="H18" s="12" t="n">
        <v>5000</v>
      </c>
      <c r="I18" s="12" t="n">
        <v>13500</v>
      </c>
      <c r="J18" s="12" t="n">
        <v>13500</v>
      </c>
      <c r="K18" s="12" t="n">
        <v>13500</v>
      </c>
      <c r="L18" s="12" t="n">
        <v>13500</v>
      </c>
      <c r="M18" s="12" t="n">
        <v>13500</v>
      </c>
      <c r="N18" s="12" t="n">
        <v>13500</v>
      </c>
      <c r="O18" s="12" t="n">
        <v>40500</v>
      </c>
      <c r="P18" s="12" t="n">
        <v>62100</v>
      </c>
      <c r="Q18" s="12" t="n">
        <v>62100</v>
      </c>
      <c r="R18" s="12" t="n">
        <v>82500</v>
      </c>
      <c r="S18" s="12" t="n">
        <v>82500</v>
      </c>
      <c r="T18" s="12" t="n">
        <v>106500</v>
      </c>
      <c r="U18" s="12" t="n">
        <v>106500</v>
      </c>
      <c r="V18" s="12" t="n">
        <v>106500</v>
      </c>
      <c r="W18" s="12">
        <f>SUM(C18:N18)</f>
        <v/>
      </c>
      <c r="X18" s="12">
        <f>SUM(O18:R18)</f>
        <v/>
      </c>
      <c r="Y18" s="12">
        <f>SUM(S18:V18)</f>
        <v/>
      </c>
      <c r="Z18" s="12">
        <f>W18+X18+Y18</f>
        <v/>
      </c>
    </row>
    <row r="19">
      <c r="A19" s="13" t="inlineStr">
        <is>
          <t>Marketing &amp; Growth</t>
        </is>
      </c>
      <c r="C19" s="14" t="n">
        <v>500</v>
      </c>
      <c r="D19" s="14" t="n">
        <v>500</v>
      </c>
      <c r="E19" s="14" t="n">
        <v>500</v>
      </c>
      <c r="F19" s="14" t="n">
        <v>500</v>
      </c>
      <c r="G19" s="14" t="n">
        <v>500</v>
      </c>
      <c r="H19" s="14" t="n">
        <v>500</v>
      </c>
      <c r="I19" s="14" t="n">
        <v>500</v>
      </c>
      <c r="J19" s="14" t="n">
        <v>500</v>
      </c>
      <c r="K19" s="14" t="n">
        <v>500</v>
      </c>
      <c r="L19" s="14" t="n">
        <v>500</v>
      </c>
      <c r="M19" s="14" t="n">
        <v>500</v>
      </c>
      <c r="N19" s="14" t="n">
        <v>500</v>
      </c>
      <c r="O19" s="14" t="n">
        <v>6000</v>
      </c>
      <c r="P19" s="14" t="n">
        <v>9000</v>
      </c>
      <c r="Q19" s="14" t="n">
        <v>10500</v>
      </c>
      <c r="R19" s="14" t="n">
        <v>10500</v>
      </c>
      <c r="S19" s="14" t="n">
        <v>15000</v>
      </c>
      <c r="T19" s="14" t="n">
        <v>15000</v>
      </c>
      <c r="U19" s="14" t="n">
        <v>21000</v>
      </c>
      <c r="V19" s="14" t="n">
        <v>21000</v>
      </c>
      <c r="W19" s="14">
        <f>SUM(C19:N19)</f>
        <v/>
      </c>
      <c r="X19" s="14">
        <f>SUM(O19:R19)</f>
        <v/>
      </c>
      <c r="Y19" s="14">
        <f>SUM(S19:V19)</f>
        <v/>
      </c>
      <c r="Z19" s="14">
        <f>W19+X19+Y19</f>
        <v/>
      </c>
    </row>
    <row r="20">
      <c r="A20" s="10" t="inlineStr">
        <is>
          <t>Legal &amp; Compliance</t>
        </is>
      </c>
      <c r="B20" s="11" t="n"/>
      <c r="C20" s="12" t="n">
        <v>3000</v>
      </c>
      <c r="D20" s="12" t="n">
        <v>500</v>
      </c>
      <c r="E20" s="12" t="n">
        <v>500</v>
      </c>
      <c r="F20" s="12" t="n">
        <v>500</v>
      </c>
      <c r="G20" s="12" t="n">
        <v>500</v>
      </c>
      <c r="H20" s="12" t="n">
        <v>500</v>
      </c>
      <c r="I20" s="12" t="n">
        <v>500</v>
      </c>
      <c r="J20" s="12" t="n">
        <v>500</v>
      </c>
      <c r="K20" s="12" t="n">
        <v>500</v>
      </c>
      <c r="L20" s="12" t="n">
        <v>500</v>
      </c>
      <c r="M20" s="12" t="n">
        <v>500</v>
      </c>
      <c r="N20" s="12" t="n">
        <v>500</v>
      </c>
      <c r="O20" s="12" t="n">
        <v>9000</v>
      </c>
      <c r="P20" s="12" t="n">
        <v>5000</v>
      </c>
      <c r="Q20" s="12" t="n">
        <v>2000</v>
      </c>
      <c r="R20" s="12" t="n">
        <v>2000</v>
      </c>
      <c r="S20" s="12" t="n">
        <v>5000</v>
      </c>
      <c r="T20" s="12" t="n">
        <v>3000</v>
      </c>
      <c r="U20" s="12" t="n">
        <v>3000</v>
      </c>
      <c r="V20" s="12" t="n">
        <v>3000</v>
      </c>
      <c r="W20" s="12">
        <f>SUM(C20:N20)</f>
        <v/>
      </c>
      <c r="X20" s="12">
        <f>SUM(O20:R20)</f>
        <v/>
      </c>
      <c r="Y20" s="12">
        <f>SUM(S20:V20)</f>
        <v/>
      </c>
      <c r="Z20" s="12">
        <f>W20+X20+Y20</f>
        <v/>
      </c>
    </row>
    <row r="21">
      <c r="A21" s="13" t="inlineStr">
        <is>
          <t>Accounting, Tools &amp; G&amp;A</t>
        </is>
      </c>
      <c r="C21" s="14" t="n">
        <v>850</v>
      </c>
      <c r="D21" s="14" t="n">
        <v>850</v>
      </c>
      <c r="E21" s="14" t="n">
        <v>850</v>
      </c>
      <c r="F21" s="14" t="n">
        <v>850</v>
      </c>
      <c r="G21" s="14" t="n">
        <v>850</v>
      </c>
      <c r="H21" s="14" t="n">
        <v>850</v>
      </c>
      <c r="I21" s="14" t="n">
        <v>850</v>
      </c>
      <c r="J21" s="14" t="n">
        <v>850</v>
      </c>
      <c r="K21" s="14" t="n">
        <v>850</v>
      </c>
      <c r="L21" s="14" t="n">
        <v>850</v>
      </c>
      <c r="M21" s="14" t="n">
        <v>850</v>
      </c>
      <c r="N21" s="14" t="n">
        <v>850</v>
      </c>
      <c r="O21" s="14" t="n">
        <v>4500</v>
      </c>
      <c r="P21" s="14" t="n">
        <v>4500</v>
      </c>
      <c r="Q21" s="14" t="n">
        <v>4500</v>
      </c>
      <c r="R21" s="14" t="n">
        <v>4500</v>
      </c>
      <c r="S21" s="14" t="n">
        <v>6600</v>
      </c>
      <c r="T21" s="14" t="n">
        <v>6600</v>
      </c>
      <c r="U21" s="14" t="n">
        <v>6600</v>
      </c>
      <c r="V21" s="14" t="n">
        <v>6600</v>
      </c>
      <c r="W21" s="14">
        <f>SUM(C21:N21)</f>
        <v/>
      </c>
      <c r="X21" s="14">
        <f>SUM(O21:R21)</f>
        <v/>
      </c>
      <c r="Y21" s="14">
        <f>SUM(S21:V21)</f>
        <v/>
      </c>
      <c r="Z21" s="14">
        <f>W21+X21+Y21</f>
        <v/>
      </c>
    </row>
    <row r="22">
      <c r="A22" s="15" t="inlineStr">
        <is>
          <t>Total Operating Expenses</t>
        </is>
      </c>
      <c r="B22" s="16" t="n"/>
      <c r="C22" s="17" t="n">
        <v>9350</v>
      </c>
      <c r="D22" s="17" t="n">
        <v>6850</v>
      </c>
      <c r="E22" s="17" t="n">
        <v>6850</v>
      </c>
      <c r="F22" s="17" t="n">
        <v>6850</v>
      </c>
      <c r="G22" s="17" t="n">
        <v>6850</v>
      </c>
      <c r="H22" s="17" t="n">
        <v>6850</v>
      </c>
      <c r="I22" s="17" t="n">
        <v>15350</v>
      </c>
      <c r="J22" s="17" t="n">
        <v>15350</v>
      </c>
      <c r="K22" s="17" t="n">
        <v>15350</v>
      </c>
      <c r="L22" s="17" t="n">
        <v>15350</v>
      </c>
      <c r="M22" s="17" t="n">
        <v>15350</v>
      </c>
      <c r="N22" s="17" t="n">
        <v>15350</v>
      </c>
      <c r="O22" s="17" t="n">
        <v>60000</v>
      </c>
      <c r="P22" s="17" t="n">
        <v>80600</v>
      </c>
      <c r="Q22" s="17" t="n">
        <v>79100</v>
      </c>
      <c r="R22" s="17" t="n">
        <v>99500</v>
      </c>
      <c r="S22" s="17" t="n">
        <v>109100</v>
      </c>
      <c r="T22" s="17" t="n">
        <v>131100</v>
      </c>
      <c r="U22" s="17" t="n">
        <v>137100</v>
      </c>
      <c r="V22" s="17" t="n">
        <v>137100</v>
      </c>
      <c r="W22" s="17">
        <f>SUM(C22:N22)</f>
        <v/>
      </c>
      <c r="X22" s="17">
        <f>SUM(O22:R22)</f>
        <v/>
      </c>
      <c r="Y22" s="17">
        <f>SUM(S22:V22)</f>
        <v/>
      </c>
      <c r="Z22" s="17">
        <f>W22+X22+Y22</f>
        <v/>
      </c>
    </row>
    <row r="23"/>
    <row r="24">
      <c r="A24" s="22" t="inlineStr">
        <is>
          <t>EBITDA (Operating Cash Flow)</t>
        </is>
      </c>
      <c r="B24" s="23" t="n"/>
      <c r="C24" s="24" t="n">
        <v>-9650</v>
      </c>
      <c r="D24" s="24" t="n">
        <v>-7150</v>
      </c>
      <c r="E24" s="24" t="n">
        <v>-7000</v>
      </c>
      <c r="F24" s="24" t="n">
        <v>-6775</v>
      </c>
      <c r="G24" s="24" t="n">
        <v>-6550</v>
      </c>
      <c r="H24" s="24" t="n">
        <v>-6250</v>
      </c>
      <c r="I24" s="24" t="n">
        <v>-14750</v>
      </c>
      <c r="J24" s="24" t="n">
        <v>-14450</v>
      </c>
      <c r="K24" s="24" t="n">
        <v>-14150</v>
      </c>
      <c r="L24" s="24" t="n">
        <v>-14325</v>
      </c>
      <c r="M24" s="24" t="n">
        <v>-14100</v>
      </c>
      <c r="N24" s="24" t="n">
        <v>-13875</v>
      </c>
      <c r="O24" s="24" t="n">
        <v>-44365</v>
      </c>
      <c r="P24" s="24" t="n">
        <v>-57192</v>
      </c>
      <c r="Q24" s="24" t="n">
        <v>-39211</v>
      </c>
      <c r="R24" s="24" t="n">
        <v>-38355</v>
      </c>
      <c r="S24" s="24" t="n">
        <v>-3105</v>
      </c>
      <c r="T24" s="24" t="n">
        <v>10734</v>
      </c>
      <c r="U24" s="24" t="n">
        <v>42445</v>
      </c>
      <c r="V24" s="24" t="n">
        <v>87625</v>
      </c>
      <c r="W24" s="24">
        <f>SUM(C24:N24)</f>
        <v/>
      </c>
      <c r="X24" s="24">
        <f>SUM(O24:R24)</f>
        <v/>
      </c>
      <c r="Y24" s="24">
        <f>SUM(S24:V24)</f>
        <v/>
      </c>
      <c r="Z24" s="24">
        <f>W24+X24+Y24</f>
        <v/>
      </c>
    </row>
    <row r="25"/>
    <row r="26">
      <c r="A26" s="8" t="inlineStr">
        <is>
          <t>CASH POSITION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10" t="inlineStr">
        <is>
          <t>Net Cash Used (Period)</t>
        </is>
      </c>
      <c r="B27" s="11" t="n"/>
      <c r="C27" s="12" t="n">
        <v>9650</v>
      </c>
      <c r="D27" s="12" t="n">
        <v>7150</v>
      </c>
      <c r="E27" s="12" t="n">
        <v>7000</v>
      </c>
      <c r="F27" s="12" t="n">
        <v>6775</v>
      </c>
      <c r="G27" s="12" t="n">
        <v>6550</v>
      </c>
      <c r="H27" s="12" t="n">
        <v>6250</v>
      </c>
      <c r="I27" s="12" t="n">
        <v>14750</v>
      </c>
      <c r="J27" s="12" t="n">
        <v>14450</v>
      </c>
      <c r="K27" s="12" t="n">
        <v>14150</v>
      </c>
      <c r="L27" s="12" t="n">
        <v>14325</v>
      </c>
      <c r="M27" s="12" t="n">
        <v>14100</v>
      </c>
      <c r="N27" s="12" t="n">
        <v>13875</v>
      </c>
      <c r="O27" s="12" t="n">
        <v>44365</v>
      </c>
      <c r="P27" s="12" t="n">
        <v>57192</v>
      </c>
      <c r="Q27" s="12" t="n">
        <v>39211</v>
      </c>
      <c r="R27" s="12" t="n">
        <v>38355</v>
      </c>
      <c r="S27" s="12" t="n">
        <v>3105</v>
      </c>
      <c r="T27" s="12" t="n">
        <v>-10734</v>
      </c>
      <c r="U27" s="12" t="n">
        <v>-42445</v>
      </c>
      <c r="V27" s="12" t="n">
        <v>-87625</v>
      </c>
      <c r="W27" s="12">
        <f>SUM(C27:N27)</f>
        <v/>
      </c>
      <c r="X27" s="12">
        <f>SUM(O27:R27)</f>
        <v/>
      </c>
      <c r="Y27" s="12">
        <f>SUM(S27:V27)</f>
        <v/>
      </c>
      <c r="Z27" s="12">
        <f>W27+X27+Y27</f>
        <v/>
      </c>
    </row>
    <row r="28">
      <c r="A28" s="15" t="inlineStr">
        <is>
          <t>Ending Cash Balance</t>
        </is>
      </c>
      <c r="B28" s="16" t="n"/>
      <c r="C28" s="17" t="n">
        <v>340350</v>
      </c>
      <c r="D28" s="17" t="n">
        <v>333200</v>
      </c>
      <c r="E28" s="17" t="n">
        <v>326200</v>
      </c>
      <c r="F28" s="17" t="n">
        <v>319425</v>
      </c>
      <c r="G28" s="17" t="n">
        <v>312875</v>
      </c>
      <c r="H28" s="17" t="n">
        <v>306625</v>
      </c>
      <c r="I28" s="17" t="n">
        <v>291875</v>
      </c>
      <c r="J28" s="17" t="n">
        <v>277425</v>
      </c>
      <c r="K28" s="17" t="n">
        <v>263275</v>
      </c>
      <c r="L28" s="17" t="n">
        <v>248950</v>
      </c>
      <c r="M28" s="17" t="n">
        <v>234850</v>
      </c>
      <c r="N28" s="17" t="n">
        <v>220975</v>
      </c>
      <c r="O28" s="17" t="n">
        <v>176610</v>
      </c>
      <c r="P28" s="17" t="n">
        <v>119419</v>
      </c>
      <c r="Q28" s="17" t="n">
        <v>80208</v>
      </c>
      <c r="R28" s="25" t="n">
        <v>41853</v>
      </c>
      <c r="S28" s="25" t="n">
        <v>38747</v>
      </c>
      <c r="T28" s="25" t="n">
        <v>49481</v>
      </c>
      <c r="U28" s="17" t="n">
        <v>91927</v>
      </c>
      <c r="V28" s="17" t="n">
        <v>179552</v>
      </c>
      <c r="W28" s="17">
        <f>SUM(C28:N28)</f>
        <v/>
      </c>
      <c r="X28" s="17">
        <f>SUM(O28:R28)</f>
        <v/>
      </c>
      <c r="Y28" s="17">
        <f>SUM(S28:V28)</f>
        <v/>
      </c>
      <c r="Z28" s="17">
        <f>W28+X28+Y28</f>
        <v/>
      </c>
    </row>
    <row r="29"/>
    <row r="30"/>
    <row r="31">
      <c r="A31" s="8" t="inlineStr">
        <is>
          <t>HEADCOUNT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26" t="inlineStr">
        <is>
          <t>Total Headcount (end of period)</t>
        </is>
      </c>
      <c r="C32" s="27" t="n">
        <v>1</v>
      </c>
      <c r="D32" s="27" t="n">
        <v>1</v>
      </c>
      <c r="E32" s="27" t="n">
        <v>1</v>
      </c>
      <c r="F32" s="27" t="n">
        <v>1</v>
      </c>
      <c r="G32" s="27" t="n">
        <v>1</v>
      </c>
      <c r="H32" s="27" t="n">
        <v>1</v>
      </c>
      <c r="I32" s="27" t="n">
        <v>2</v>
      </c>
      <c r="J32" s="27" t="n">
        <v>2</v>
      </c>
      <c r="K32" s="27" t="n">
        <v>2</v>
      </c>
      <c r="L32" s="27" t="n">
        <v>2</v>
      </c>
      <c r="M32" s="27" t="n">
        <v>2</v>
      </c>
      <c r="N32" s="27" t="n">
        <v>2</v>
      </c>
      <c r="O32" s="27" t="n">
        <v>2</v>
      </c>
      <c r="P32" s="27" t="n">
        <v>2</v>
      </c>
      <c r="Q32" s="27" t="n">
        <v>2</v>
      </c>
      <c r="R32" s="27" t="n">
        <v>3</v>
      </c>
      <c r="S32" s="27" t="n">
        <v>3</v>
      </c>
      <c r="T32" s="27" t="n">
        <v>3</v>
      </c>
      <c r="U32" s="27" t="n">
        <v>3</v>
      </c>
      <c r="V32" s="27" t="n">
        <v>3</v>
      </c>
    </row>
  </sheetData>
  <mergeCells count="1">
    <mergeCell ref="A1:Z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10" defaultColWidth="8.6640625" defaultRowHeight="15"/>
  <cols>
    <col width="36" customWidth="1" min="1" max="1"/>
    <col width="5" customWidth="1" min="2" max="2"/>
    <col width="11" customWidth="1" min="3" max="22"/>
    <col width="13" customWidth="1" min="23" max="26"/>
  </cols>
  <sheetData>
    <row r="1" ht="27.75" customHeight="1">
      <c r="A1" s="4" t="inlineStr">
        <is>
          <t>REKAB-COMPUTE — 3-YEAR P&amp;L PROJECTION  |  AGGRESSIVE SCENARIO</t>
        </is>
      </c>
    </row>
    <row r="2">
      <c r="A2" s="5" t="inlineStr">
        <is>
          <t>All figures in USD. Blue = input. Black = formula. Parentheses denote losses.</t>
        </is>
      </c>
    </row>
    <row r="3">
      <c r="C3" s="6" t="inlineStr">
        <is>
          <t>M1</t>
        </is>
      </c>
      <c r="D3" s="6" t="inlineStr">
        <is>
          <t>M2</t>
        </is>
      </c>
      <c r="E3" s="6" t="inlineStr">
        <is>
          <t>M3</t>
        </is>
      </c>
      <c r="F3" s="6" t="inlineStr">
        <is>
          <t>M4</t>
        </is>
      </c>
      <c r="G3" s="6" t="inlineStr">
        <is>
          <t>M5</t>
        </is>
      </c>
      <c r="H3" s="6" t="inlineStr">
        <is>
          <t>M6</t>
        </is>
      </c>
      <c r="I3" s="6" t="inlineStr">
        <is>
          <t>M7</t>
        </is>
      </c>
      <c r="J3" s="6" t="inlineStr">
        <is>
          <t>M8</t>
        </is>
      </c>
      <c r="K3" s="6" t="inlineStr">
        <is>
          <t>M9</t>
        </is>
      </c>
      <c r="L3" s="6" t="inlineStr">
        <is>
          <t>M10</t>
        </is>
      </c>
      <c r="M3" s="6" t="inlineStr">
        <is>
          <t>M11</t>
        </is>
      </c>
      <c r="N3" s="6" t="inlineStr">
        <is>
          <t>M12</t>
        </is>
      </c>
      <c r="O3" s="6" t="inlineStr">
        <is>
          <t>Y2 Q1</t>
        </is>
      </c>
      <c r="P3" s="6" t="inlineStr">
        <is>
          <t>Y2 Q2</t>
        </is>
      </c>
      <c r="Q3" s="6" t="inlineStr">
        <is>
          <t>Y2 Q3</t>
        </is>
      </c>
      <c r="R3" s="6" t="inlineStr">
        <is>
          <t>Y2 Q4</t>
        </is>
      </c>
      <c r="S3" s="6" t="inlineStr">
        <is>
          <t>Y3 Q1</t>
        </is>
      </c>
      <c r="T3" s="6" t="inlineStr">
        <is>
          <t>Y3 Q2</t>
        </is>
      </c>
      <c r="U3" s="6" t="inlineStr">
        <is>
          <t>Y3 Q3</t>
        </is>
      </c>
      <c r="V3" s="6" t="inlineStr">
        <is>
          <t>Y3 Q4</t>
        </is>
      </c>
      <c r="W3" s="7" t="inlineStr">
        <is>
          <t>Year 1 Total</t>
        </is>
      </c>
      <c r="X3" s="7" t="inlineStr">
        <is>
          <t>Year 2 Total</t>
        </is>
      </c>
      <c r="Y3" s="7" t="inlineStr">
        <is>
          <t>Year 3 Total</t>
        </is>
      </c>
      <c r="Z3" s="7" t="inlineStr">
        <is>
          <t>3-Year Total</t>
        </is>
      </c>
    </row>
    <row r="4">
      <c r="A4" s="8" t="inlineStr">
        <is>
          <t>REVENUE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0" t="inlineStr">
        <is>
          <t>B2B API Revenue</t>
        </is>
      </c>
      <c r="B5" s="11" t="n"/>
      <c r="C5" s="12" t="n">
        <v>0</v>
      </c>
      <c r="D5" s="12" t="n">
        <v>0</v>
      </c>
      <c r="E5" s="12" t="n">
        <v>500</v>
      </c>
      <c r="F5" s="12" t="n">
        <v>1000</v>
      </c>
      <c r="G5" s="12" t="n">
        <v>1600</v>
      </c>
      <c r="H5" s="12" t="n">
        <v>2200</v>
      </c>
      <c r="I5" s="12" t="n">
        <v>3000</v>
      </c>
      <c r="J5" s="12" t="n">
        <v>3800</v>
      </c>
      <c r="K5" s="12" t="n">
        <v>4600</v>
      </c>
      <c r="L5" s="12" t="n">
        <v>5200</v>
      </c>
      <c r="M5" s="12" t="n">
        <v>5600</v>
      </c>
      <c r="N5" s="12" t="n">
        <v>6000</v>
      </c>
      <c r="O5" s="12" t="n">
        <v>43200</v>
      </c>
      <c r="P5" s="12" t="n">
        <v>62400</v>
      </c>
      <c r="Q5" s="12" t="n">
        <v>84000</v>
      </c>
      <c r="R5" s="12" t="n">
        <v>105600</v>
      </c>
      <c r="S5" s="12" t="n">
        <v>189000</v>
      </c>
      <c r="T5" s="12" t="n">
        <v>239400</v>
      </c>
      <c r="U5" s="12" t="n">
        <v>289800</v>
      </c>
      <c r="V5" s="12" t="n">
        <v>346500</v>
      </c>
      <c r="W5" s="12">
        <f>SUM(C5:N5)</f>
        <v/>
      </c>
      <c r="X5" s="12">
        <f>SUM(O5:R5)</f>
        <v/>
      </c>
      <c r="Y5" s="12">
        <f>SUM(S5:V5)</f>
        <v/>
      </c>
      <c r="Z5" s="12">
        <f>W5+X5+Y5</f>
        <v/>
      </c>
    </row>
    <row r="6">
      <c r="A6" s="13" t="inlineStr">
        <is>
          <t>B2B Optical Retail SaaS Revenue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8055</v>
      </c>
      <c r="P6" s="14" t="n">
        <v>21480</v>
      </c>
      <c r="Q6" s="14" t="n">
        <v>40275</v>
      </c>
      <c r="R6" s="14" t="n">
        <v>53700</v>
      </c>
      <c r="S6" s="14" t="n">
        <v>80550</v>
      </c>
      <c r="T6" s="14" t="n">
        <v>107400</v>
      </c>
      <c r="U6" s="14" t="n">
        <v>134250</v>
      </c>
      <c r="V6" s="14" t="n">
        <v>174525</v>
      </c>
      <c r="W6" s="14">
        <f>SUM(C6:N6)</f>
        <v/>
      </c>
      <c r="X6" s="14">
        <f>SUM(O6:R6)</f>
        <v/>
      </c>
      <c r="Y6" s="14">
        <f>SUM(S6:V6)</f>
        <v/>
      </c>
      <c r="Z6" s="14">
        <f>W6+X6+Y6</f>
        <v/>
      </c>
    </row>
    <row r="7">
      <c r="A7" s="10" t="inlineStr">
        <is>
          <t>B2C Consumer Revenue</t>
        </is>
      </c>
      <c r="B7" s="11" t="n"/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17955</v>
      </c>
      <c r="P7" s="12" t="n">
        <v>47880</v>
      </c>
      <c r="Q7" s="12" t="n">
        <v>95760</v>
      </c>
      <c r="R7" s="12" t="n">
        <v>155610</v>
      </c>
      <c r="S7" s="12" t="n">
        <v>239400</v>
      </c>
      <c r="T7" s="12" t="n">
        <v>335160</v>
      </c>
      <c r="U7" s="12" t="n">
        <v>442890</v>
      </c>
      <c r="V7" s="12" t="n">
        <v>574560</v>
      </c>
      <c r="W7" s="12">
        <f>SUM(C7:N7)</f>
        <v/>
      </c>
      <c r="X7" s="12">
        <f>SUM(O7:R7)</f>
        <v/>
      </c>
      <c r="Y7" s="12">
        <f>SUM(S7:V7)</f>
        <v/>
      </c>
      <c r="Z7" s="12">
        <f>W7+X7+Y7</f>
        <v/>
      </c>
    </row>
    <row r="8">
      <c r="A8" s="15" t="inlineStr">
        <is>
          <t>Total Revenue</t>
        </is>
      </c>
      <c r="B8" s="16" t="n"/>
      <c r="C8" s="17" t="n">
        <v>0</v>
      </c>
      <c r="D8" s="17" t="n">
        <v>0</v>
      </c>
      <c r="E8" s="17" t="n">
        <v>500</v>
      </c>
      <c r="F8" s="17" t="n">
        <v>1000</v>
      </c>
      <c r="G8" s="17" t="n">
        <v>1600</v>
      </c>
      <c r="H8" s="17" t="n">
        <v>2200</v>
      </c>
      <c r="I8" s="17" t="n">
        <v>3000</v>
      </c>
      <c r="J8" s="17" t="n">
        <v>3800</v>
      </c>
      <c r="K8" s="17" t="n">
        <v>4600</v>
      </c>
      <c r="L8" s="17" t="n">
        <v>5200</v>
      </c>
      <c r="M8" s="17" t="n">
        <v>5600</v>
      </c>
      <c r="N8" s="17" t="n">
        <v>6000</v>
      </c>
      <c r="O8" s="17" t="n">
        <v>69210</v>
      </c>
      <c r="P8" s="17" t="n">
        <v>131760</v>
      </c>
      <c r="Q8" s="17" t="n">
        <v>220035</v>
      </c>
      <c r="R8" s="17" t="n">
        <v>314910</v>
      </c>
      <c r="S8" s="17" t="n">
        <v>508950</v>
      </c>
      <c r="T8" s="17" t="n">
        <v>681960</v>
      </c>
      <c r="U8" s="17" t="n">
        <v>866940</v>
      </c>
      <c r="V8" s="17" t="n">
        <v>1095585</v>
      </c>
      <c r="W8" s="17">
        <f>SUM(C8:N8)</f>
        <v/>
      </c>
      <c r="X8" s="17">
        <f>SUM(O8:R8)</f>
        <v/>
      </c>
      <c r="Y8" s="17">
        <f>SUM(S8:V8)</f>
        <v/>
      </c>
      <c r="Z8" s="17">
        <f>W8+X8+Y8</f>
        <v/>
      </c>
    </row>
    <row r="9"/>
    <row r="10">
      <c r="A10" s="8" t="inlineStr">
        <is>
          <t>COST OF REVENUE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10" t="inlineStr">
        <is>
          <t>Infrastructure &amp; ML Inference</t>
        </is>
      </c>
      <c r="B11" s="11" t="n"/>
      <c r="C11" s="12" t="n">
        <v>400</v>
      </c>
      <c r="D11" s="12" t="n">
        <v>400</v>
      </c>
      <c r="E11" s="12" t="n">
        <v>400</v>
      </c>
      <c r="F11" s="12" t="n">
        <v>800</v>
      </c>
      <c r="G11" s="12" t="n">
        <v>800</v>
      </c>
      <c r="H11" s="12" t="n">
        <v>800</v>
      </c>
      <c r="I11" s="12" t="n">
        <v>1200</v>
      </c>
      <c r="J11" s="12" t="n">
        <v>1200</v>
      </c>
      <c r="K11" s="12" t="n">
        <v>1200</v>
      </c>
      <c r="L11" s="12" t="n">
        <v>1800</v>
      </c>
      <c r="M11" s="12" t="n">
        <v>1800</v>
      </c>
      <c r="N11" s="12" t="n">
        <v>1800</v>
      </c>
      <c r="O11" s="12" t="n">
        <v>12000</v>
      </c>
      <c r="P11" s="12" t="n">
        <v>21000</v>
      </c>
      <c r="Q11" s="12" t="n">
        <v>30000</v>
      </c>
      <c r="R11" s="12" t="n">
        <v>39000</v>
      </c>
      <c r="S11" s="12" t="n">
        <v>54000</v>
      </c>
      <c r="T11" s="12" t="n">
        <v>66000</v>
      </c>
      <c r="U11" s="12" t="n">
        <v>81000</v>
      </c>
      <c r="V11" s="12" t="n">
        <v>96000</v>
      </c>
      <c r="W11" s="12">
        <f>SUM(C11:N11)</f>
        <v/>
      </c>
      <c r="X11" s="12">
        <f>SUM(O11:R11)</f>
        <v/>
      </c>
      <c r="Y11" s="12">
        <f>SUM(S11:V11)</f>
        <v/>
      </c>
      <c r="Z11" s="12">
        <f>W11+X11+Y11</f>
        <v/>
      </c>
    </row>
    <row r="12">
      <c r="A12" s="15" t="inlineStr">
        <is>
          <t>Total Cost of Revenue</t>
        </is>
      </c>
      <c r="B12" s="16" t="n"/>
      <c r="C12" s="17" t="n">
        <v>400</v>
      </c>
      <c r="D12" s="17" t="n">
        <v>400</v>
      </c>
      <c r="E12" s="17" t="n">
        <v>400</v>
      </c>
      <c r="F12" s="17" t="n">
        <v>800</v>
      </c>
      <c r="G12" s="17" t="n">
        <v>800</v>
      </c>
      <c r="H12" s="17" t="n">
        <v>800</v>
      </c>
      <c r="I12" s="17" t="n">
        <v>1200</v>
      </c>
      <c r="J12" s="17" t="n">
        <v>1200</v>
      </c>
      <c r="K12" s="17" t="n">
        <v>1200</v>
      </c>
      <c r="L12" s="17" t="n">
        <v>1800</v>
      </c>
      <c r="M12" s="17" t="n">
        <v>1800</v>
      </c>
      <c r="N12" s="17" t="n">
        <v>1800</v>
      </c>
      <c r="O12" s="17" t="n">
        <v>13108</v>
      </c>
      <c r="P12" s="17" t="n">
        <v>23340</v>
      </c>
      <c r="Q12" s="17" t="n">
        <v>37221</v>
      </c>
      <c r="R12" s="17" t="n">
        <v>51571</v>
      </c>
      <c r="S12" s="17" t="n">
        <v>84807</v>
      </c>
      <c r="T12" s="17" t="n">
        <v>112219</v>
      </c>
      <c r="U12" s="17" t="n">
        <v>141068</v>
      </c>
      <c r="V12" s="17" t="n">
        <v>176592</v>
      </c>
      <c r="W12" s="17">
        <f>SUM(C12:N12)</f>
        <v/>
      </c>
      <c r="X12" s="17">
        <f>SUM(O12:R12)</f>
        <v/>
      </c>
      <c r="Y12" s="17">
        <f>SUM(S12:V12)</f>
        <v/>
      </c>
      <c r="Z12" s="17">
        <f>W12+X12+Y12</f>
        <v/>
      </c>
    </row>
    <row r="13"/>
    <row r="14">
      <c r="A14" s="18" t="inlineStr">
        <is>
          <t>GROSS PROFIT</t>
        </is>
      </c>
      <c r="B14" s="19" t="n"/>
      <c r="C14" s="20" t="n">
        <v>-400</v>
      </c>
      <c r="D14" s="20" t="n">
        <v>-400</v>
      </c>
      <c r="E14" s="20" t="n">
        <v>100</v>
      </c>
      <c r="F14" s="20" t="n">
        <v>200</v>
      </c>
      <c r="G14" s="20" t="n">
        <v>800</v>
      </c>
      <c r="H14" s="20" t="n">
        <v>1400</v>
      </c>
      <c r="I14" s="20" t="n">
        <v>1800</v>
      </c>
      <c r="J14" s="20" t="n">
        <v>2600</v>
      </c>
      <c r="K14" s="20" t="n">
        <v>3400</v>
      </c>
      <c r="L14" s="20" t="n">
        <v>3400</v>
      </c>
      <c r="M14" s="20" t="n">
        <v>3800</v>
      </c>
      <c r="N14" s="20" t="n">
        <v>4200</v>
      </c>
      <c r="O14" s="20" t="n">
        <v>56102</v>
      </c>
      <c r="P14" s="20" t="n">
        <v>108420</v>
      </c>
      <c r="Q14" s="20" t="n">
        <v>182814</v>
      </c>
      <c r="R14" s="20" t="n">
        <v>263339</v>
      </c>
      <c r="S14" s="20" t="n">
        <v>424143</v>
      </c>
      <c r="T14" s="20" t="n">
        <v>569741</v>
      </c>
      <c r="U14" s="20" t="n">
        <v>725872</v>
      </c>
      <c r="V14" s="20" t="n">
        <v>918993</v>
      </c>
      <c r="W14" s="20">
        <f>SUM(C14:N14)</f>
        <v/>
      </c>
      <c r="X14" s="20">
        <f>SUM(O14:R14)</f>
        <v/>
      </c>
      <c r="Y14" s="20">
        <f>SUM(S14:V14)</f>
        <v/>
      </c>
      <c r="Z14" s="20">
        <f>W14+X14+Y14</f>
        <v/>
      </c>
    </row>
    <row r="15">
      <c r="A15" s="13" t="inlineStr">
        <is>
          <t>Gross Margin %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1" t="n">
        <v>1</v>
      </c>
      <c r="R15" s="21" t="n">
        <v>1</v>
      </c>
      <c r="S15" s="21" t="n">
        <v>1</v>
      </c>
      <c r="T15" s="21" t="n">
        <v>1</v>
      </c>
      <c r="U15" s="21" t="n">
        <v>1</v>
      </c>
      <c r="V15" s="21" t="n">
        <v>1</v>
      </c>
      <c r="W15" s="21">
        <f>SUM(C15:N15)</f>
        <v/>
      </c>
      <c r="X15" s="21">
        <f>SUM(O15:R15)</f>
        <v/>
      </c>
      <c r="Y15" s="21">
        <f>SUM(S15:V15)</f>
        <v/>
      </c>
      <c r="Z15" s="21">
        <f>W15+X15+Y15</f>
        <v/>
      </c>
    </row>
    <row r="16"/>
    <row r="17">
      <c r="A17" s="8" t="inlineStr">
        <is>
          <t>OPERATING EXPENSES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10" t="inlineStr">
        <is>
          <t>Salaries &amp; Benefits</t>
        </is>
      </c>
      <c r="B18" s="11" t="n"/>
      <c r="C18" s="12" t="n">
        <v>5000</v>
      </c>
      <c r="D18" s="12" t="n">
        <v>5000</v>
      </c>
      <c r="E18" s="12" t="n">
        <v>5000</v>
      </c>
      <c r="F18" s="12" t="n">
        <v>5000</v>
      </c>
      <c r="G18" s="12" t="n">
        <v>13500</v>
      </c>
      <c r="H18" s="12" t="n">
        <v>13500</v>
      </c>
      <c r="I18" s="12" t="n">
        <v>13500</v>
      </c>
      <c r="J18" s="12" t="n">
        <v>13500</v>
      </c>
      <c r="K18" s="12" t="n">
        <v>13500</v>
      </c>
      <c r="L18" s="12" t="n">
        <v>20700</v>
      </c>
      <c r="M18" s="12" t="n">
        <v>20700</v>
      </c>
      <c r="N18" s="12" t="n">
        <v>20700</v>
      </c>
      <c r="O18" s="12" t="n">
        <v>82500</v>
      </c>
      <c r="P18" s="12" t="n">
        <v>82500</v>
      </c>
      <c r="Q18" s="12" t="n">
        <v>106500</v>
      </c>
      <c r="R18" s="12" t="n">
        <v>106500</v>
      </c>
      <c r="S18" s="12" t="n">
        <v>132000</v>
      </c>
      <c r="T18" s="12" t="n">
        <v>132000</v>
      </c>
      <c r="U18" s="12" t="n">
        <v>154500</v>
      </c>
      <c r="V18" s="12" t="n">
        <v>154500</v>
      </c>
      <c r="W18" s="12">
        <f>SUM(C18:N18)</f>
        <v/>
      </c>
      <c r="X18" s="12">
        <f>SUM(O18:R18)</f>
        <v/>
      </c>
      <c r="Y18" s="12">
        <f>SUM(S18:V18)</f>
        <v/>
      </c>
      <c r="Z18" s="12">
        <f>W18+X18+Y18</f>
        <v/>
      </c>
    </row>
    <row r="19">
      <c r="A19" s="13" t="inlineStr">
        <is>
          <t>Marketing &amp; Growth</t>
        </is>
      </c>
      <c r="C19" s="14" t="n">
        <v>1000</v>
      </c>
      <c r="D19" s="14" t="n">
        <v>1000</v>
      </c>
      <c r="E19" s="14" t="n">
        <v>1000</v>
      </c>
      <c r="F19" s="14" t="n">
        <v>1000</v>
      </c>
      <c r="G19" s="14" t="n">
        <v>1000</v>
      </c>
      <c r="H19" s="14" t="n">
        <v>1000</v>
      </c>
      <c r="I19" s="14" t="n">
        <v>2000</v>
      </c>
      <c r="J19" s="14" t="n">
        <v>2000</v>
      </c>
      <c r="K19" s="14" t="n">
        <v>2000</v>
      </c>
      <c r="L19" s="14" t="n">
        <v>2000</v>
      </c>
      <c r="M19" s="14" t="n">
        <v>2000</v>
      </c>
      <c r="N19" s="14" t="n">
        <v>2000</v>
      </c>
      <c r="O19" s="14" t="n">
        <v>24000</v>
      </c>
      <c r="P19" s="14" t="n">
        <v>36000</v>
      </c>
      <c r="Q19" s="14" t="n">
        <v>45000</v>
      </c>
      <c r="R19" s="14" t="n">
        <v>45000</v>
      </c>
      <c r="S19" s="14" t="n">
        <v>60000</v>
      </c>
      <c r="T19" s="14" t="n">
        <v>60000</v>
      </c>
      <c r="U19" s="14" t="n">
        <v>75000</v>
      </c>
      <c r="V19" s="14" t="n">
        <v>75000</v>
      </c>
      <c r="W19" s="14">
        <f>SUM(C19:N19)</f>
        <v/>
      </c>
      <c r="X19" s="14">
        <f>SUM(O19:R19)</f>
        <v/>
      </c>
      <c r="Y19" s="14">
        <f>SUM(S19:V19)</f>
        <v/>
      </c>
      <c r="Z19" s="14">
        <f>W19+X19+Y19</f>
        <v/>
      </c>
    </row>
    <row r="20">
      <c r="A20" s="10" t="inlineStr">
        <is>
          <t>Legal &amp; Compliance</t>
        </is>
      </c>
      <c r="B20" s="11" t="n"/>
      <c r="C20" s="12" t="n">
        <v>5000</v>
      </c>
      <c r="D20" s="12" t="n">
        <v>1000</v>
      </c>
      <c r="E20" s="12" t="n">
        <v>1000</v>
      </c>
      <c r="F20" s="12" t="n">
        <v>500</v>
      </c>
      <c r="G20" s="12" t="n">
        <v>500</v>
      </c>
      <c r="H20" s="12" t="n">
        <v>500</v>
      </c>
      <c r="I20" s="12" t="n">
        <v>500</v>
      </c>
      <c r="J20" s="12" t="n">
        <v>500</v>
      </c>
      <c r="K20" s="12" t="n">
        <v>500</v>
      </c>
      <c r="L20" s="12" t="n">
        <v>500</v>
      </c>
      <c r="M20" s="12" t="n">
        <v>500</v>
      </c>
      <c r="N20" s="12" t="n">
        <v>500</v>
      </c>
      <c r="O20" s="12" t="n">
        <v>15000</v>
      </c>
      <c r="P20" s="12" t="n">
        <v>8000</v>
      </c>
      <c r="Q20" s="12" t="n">
        <v>5000</v>
      </c>
      <c r="R20" s="12" t="n">
        <v>5000</v>
      </c>
      <c r="S20" s="12" t="n">
        <v>10000</v>
      </c>
      <c r="T20" s="12" t="n">
        <v>5000</v>
      </c>
      <c r="U20" s="12" t="n">
        <v>5000</v>
      </c>
      <c r="V20" s="12" t="n">
        <v>5000</v>
      </c>
      <c r="W20" s="12">
        <f>SUM(C20:N20)</f>
        <v/>
      </c>
      <c r="X20" s="12">
        <f>SUM(O20:R20)</f>
        <v/>
      </c>
      <c r="Y20" s="12">
        <f>SUM(S20:V20)</f>
        <v/>
      </c>
      <c r="Z20" s="12">
        <f>W20+X20+Y20</f>
        <v/>
      </c>
    </row>
    <row r="21">
      <c r="A21" s="13" t="inlineStr">
        <is>
          <t>Accounting, Tools &amp; G&amp;A</t>
        </is>
      </c>
      <c r="C21" s="14" t="n">
        <v>1200</v>
      </c>
      <c r="D21" s="14" t="n">
        <v>1200</v>
      </c>
      <c r="E21" s="14" t="n">
        <v>1200</v>
      </c>
      <c r="F21" s="14" t="n">
        <v>1200</v>
      </c>
      <c r="G21" s="14" t="n">
        <v>1200</v>
      </c>
      <c r="H21" s="14" t="n">
        <v>1200</v>
      </c>
      <c r="I21" s="14" t="n">
        <v>1200</v>
      </c>
      <c r="J21" s="14" t="n">
        <v>1200</v>
      </c>
      <c r="K21" s="14" t="n">
        <v>1200</v>
      </c>
      <c r="L21" s="14" t="n">
        <v>1200</v>
      </c>
      <c r="M21" s="14" t="n">
        <v>1200</v>
      </c>
      <c r="N21" s="14" t="n">
        <v>1200</v>
      </c>
      <c r="O21" s="14" t="n">
        <v>6000</v>
      </c>
      <c r="P21" s="14" t="n">
        <v>6000</v>
      </c>
      <c r="Q21" s="14" t="n">
        <v>6000</v>
      </c>
      <c r="R21" s="14" t="n">
        <v>6000</v>
      </c>
      <c r="S21" s="14" t="n">
        <v>8700</v>
      </c>
      <c r="T21" s="14" t="n">
        <v>8700</v>
      </c>
      <c r="U21" s="14" t="n">
        <v>8700</v>
      </c>
      <c r="V21" s="14" t="n">
        <v>8700</v>
      </c>
      <c r="W21" s="14">
        <f>SUM(C21:N21)</f>
        <v/>
      </c>
      <c r="X21" s="14">
        <f>SUM(O21:R21)</f>
        <v/>
      </c>
      <c r="Y21" s="14">
        <f>SUM(S21:V21)</f>
        <v/>
      </c>
      <c r="Z21" s="14">
        <f>W21+X21+Y21</f>
        <v/>
      </c>
    </row>
    <row r="22">
      <c r="A22" s="15" t="inlineStr">
        <is>
          <t>Total Operating Expenses</t>
        </is>
      </c>
      <c r="B22" s="16" t="n"/>
      <c r="C22" s="17" t="n">
        <v>12200</v>
      </c>
      <c r="D22" s="17" t="n">
        <v>8200</v>
      </c>
      <c r="E22" s="17" t="n">
        <v>8200</v>
      </c>
      <c r="F22" s="17" t="n">
        <v>7700</v>
      </c>
      <c r="G22" s="17" t="n">
        <v>16200</v>
      </c>
      <c r="H22" s="17" t="n">
        <v>16200</v>
      </c>
      <c r="I22" s="17" t="n">
        <v>17200</v>
      </c>
      <c r="J22" s="17" t="n">
        <v>17200</v>
      </c>
      <c r="K22" s="17" t="n">
        <v>17200</v>
      </c>
      <c r="L22" s="17" t="n">
        <v>24400</v>
      </c>
      <c r="M22" s="17" t="n">
        <v>24400</v>
      </c>
      <c r="N22" s="17" t="n">
        <v>24400</v>
      </c>
      <c r="O22" s="17" t="n">
        <v>127500</v>
      </c>
      <c r="P22" s="17" t="n">
        <v>132500</v>
      </c>
      <c r="Q22" s="17" t="n">
        <v>162500</v>
      </c>
      <c r="R22" s="17" t="n">
        <v>162500</v>
      </c>
      <c r="S22" s="17" t="n">
        <v>210700</v>
      </c>
      <c r="T22" s="17" t="n">
        <v>205700</v>
      </c>
      <c r="U22" s="17" t="n">
        <v>243200</v>
      </c>
      <c r="V22" s="17" t="n">
        <v>243200</v>
      </c>
      <c r="W22" s="17">
        <f>SUM(C22:N22)</f>
        <v/>
      </c>
      <c r="X22" s="17">
        <f>SUM(O22:R22)</f>
        <v/>
      </c>
      <c r="Y22" s="17">
        <f>SUM(S22:V22)</f>
        <v/>
      </c>
      <c r="Z22" s="17">
        <f>W22+X22+Y22</f>
        <v/>
      </c>
    </row>
    <row r="23"/>
    <row r="24">
      <c r="A24" s="22" t="inlineStr">
        <is>
          <t>EBITDA (Operating Cash Flow)</t>
        </is>
      </c>
      <c r="B24" s="23" t="n"/>
      <c r="C24" s="24" t="n">
        <v>-12600</v>
      </c>
      <c r="D24" s="24" t="n">
        <v>-8600</v>
      </c>
      <c r="E24" s="24" t="n">
        <v>-8100</v>
      </c>
      <c r="F24" s="24" t="n">
        <v>-7500</v>
      </c>
      <c r="G24" s="24" t="n">
        <v>-15400</v>
      </c>
      <c r="H24" s="24" t="n">
        <v>-14800</v>
      </c>
      <c r="I24" s="24" t="n">
        <v>-15400</v>
      </c>
      <c r="J24" s="24" t="n">
        <v>-14600</v>
      </c>
      <c r="K24" s="24" t="n">
        <v>-13800</v>
      </c>
      <c r="L24" s="24" t="n">
        <v>-21000</v>
      </c>
      <c r="M24" s="24" t="n">
        <v>-20600</v>
      </c>
      <c r="N24" s="24" t="n">
        <v>-20200</v>
      </c>
      <c r="O24" s="24" t="n">
        <v>-71398</v>
      </c>
      <c r="P24" s="24" t="n">
        <v>-24080</v>
      </c>
      <c r="Q24" s="24" t="n">
        <v>20314</v>
      </c>
      <c r="R24" s="24" t="n">
        <v>100839</v>
      </c>
      <c r="S24" s="24" t="n">
        <v>213443</v>
      </c>
      <c r="T24" s="24" t="n">
        <v>364041</v>
      </c>
      <c r="U24" s="24" t="n">
        <v>482672</v>
      </c>
      <c r="V24" s="24" t="n">
        <v>675793</v>
      </c>
      <c r="W24" s="24">
        <f>SUM(C24:N24)</f>
        <v/>
      </c>
      <c r="X24" s="24">
        <f>SUM(O24:R24)</f>
        <v/>
      </c>
      <c r="Y24" s="24">
        <f>SUM(S24:V24)</f>
        <v/>
      </c>
      <c r="Z24" s="24">
        <f>W24+X24+Y24</f>
        <v/>
      </c>
    </row>
    <row r="25"/>
    <row r="26">
      <c r="A26" s="8" t="inlineStr">
        <is>
          <t>CASH POSITION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10" t="inlineStr">
        <is>
          <t>Net Cash Used (Period)</t>
        </is>
      </c>
      <c r="B27" s="11" t="n"/>
      <c r="C27" s="12" t="n">
        <v>12600</v>
      </c>
      <c r="D27" s="12" t="n">
        <v>8600</v>
      </c>
      <c r="E27" s="12" t="n">
        <v>8100</v>
      </c>
      <c r="F27" s="12" t="n">
        <v>7500</v>
      </c>
      <c r="G27" s="12" t="n">
        <v>15400</v>
      </c>
      <c r="H27" s="12" t="n">
        <v>14800</v>
      </c>
      <c r="I27" s="12" t="n">
        <v>15400</v>
      </c>
      <c r="J27" s="12" t="n">
        <v>14600</v>
      </c>
      <c r="K27" s="12" t="n">
        <v>13800</v>
      </c>
      <c r="L27" s="12" t="n">
        <v>21000</v>
      </c>
      <c r="M27" s="12" t="n">
        <v>20600</v>
      </c>
      <c r="N27" s="12" t="n">
        <v>20200</v>
      </c>
      <c r="O27" s="12" t="n">
        <v>71398</v>
      </c>
      <c r="P27" s="12" t="n">
        <v>24080</v>
      </c>
      <c r="Q27" s="12" t="n">
        <v>-20314</v>
      </c>
      <c r="R27" s="12" t="n">
        <v>-100839</v>
      </c>
      <c r="S27" s="12" t="n">
        <v>-213443</v>
      </c>
      <c r="T27" s="12" t="n">
        <v>-364041</v>
      </c>
      <c r="U27" s="12" t="n">
        <v>-482672</v>
      </c>
      <c r="V27" s="12" t="n">
        <v>-675793</v>
      </c>
      <c r="W27" s="12">
        <f>SUM(C27:N27)</f>
        <v/>
      </c>
      <c r="X27" s="12">
        <f>SUM(O27:R27)</f>
        <v/>
      </c>
      <c r="Y27" s="12">
        <f>SUM(S27:V27)</f>
        <v/>
      </c>
      <c r="Z27" s="12">
        <f>W27+X27+Y27</f>
        <v/>
      </c>
    </row>
    <row r="28">
      <c r="A28" s="15" t="inlineStr">
        <is>
          <t>Ending Cash Balance</t>
        </is>
      </c>
      <c r="B28" s="16" t="n"/>
      <c r="C28" s="17" t="n">
        <v>487400</v>
      </c>
      <c r="D28" s="17" t="n">
        <v>478800</v>
      </c>
      <c r="E28" s="17" t="n">
        <v>470700</v>
      </c>
      <c r="F28" s="17" t="n">
        <v>463200</v>
      </c>
      <c r="G28" s="17" t="n">
        <v>447800</v>
      </c>
      <c r="H28" s="17" t="n">
        <v>433000</v>
      </c>
      <c r="I28" s="17" t="n">
        <v>417600</v>
      </c>
      <c r="J28" s="17" t="n">
        <v>403000</v>
      </c>
      <c r="K28" s="17" t="n">
        <v>389200</v>
      </c>
      <c r="L28" s="17" t="n">
        <v>368200</v>
      </c>
      <c r="M28" s="17" t="n">
        <v>347600</v>
      </c>
      <c r="N28" s="17" t="n">
        <v>327400</v>
      </c>
      <c r="O28" s="17" t="n">
        <v>256002</v>
      </c>
      <c r="P28" s="17" t="n">
        <v>231922</v>
      </c>
      <c r="Q28" s="17" t="n">
        <v>252236</v>
      </c>
      <c r="R28" s="17" t="n">
        <v>353075</v>
      </c>
      <c r="S28" s="17" t="n">
        <v>566518</v>
      </c>
      <c r="T28" s="17" t="n">
        <v>930558</v>
      </c>
      <c r="U28" s="17" t="n">
        <v>1413231</v>
      </c>
      <c r="V28" s="17" t="n">
        <v>2089024</v>
      </c>
      <c r="W28" s="17">
        <f>SUM(C28:N28)</f>
        <v/>
      </c>
      <c r="X28" s="17">
        <f>SUM(O28:R28)</f>
        <v/>
      </c>
      <c r="Y28" s="17">
        <f>SUM(S28:V28)</f>
        <v/>
      </c>
      <c r="Z28" s="17">
        <f>W28+X28+Y28</f>
        <v/>
      </c>
    </row>
    <row r="29"/>
    <row r="30"/>
    <row r="31">
      <c r="A31" s="8" t="inlineStr">
        <is>
          <t>HEADCOUNT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26" t="inlineStr">
        <is>
          <t>Total Headcount (end of period)</t>
        </is>
      </c>
      <c r="C32" s="27" t="n">
        <v>1</v>
      </c>
      <c r="D32" s="27" t="n">
        <v>1</v>
      </c>
      <c r="E32" s="27" t="n">
        <v>1</v>
      </c>
      <c r="F32" s="27" t="n">
        <v>1</v>
      </c>
      <c r="G32" s="27" t="n">
        <v>2</v>
      </c>
      <c r="H32" s="27" t="n">
        <v>2</v>
      </c>
      <c r="I32" s="27" t="n">
        <v>2</v>
      </c>
      <c r="J32" s="27" t="n">
        <v>2</v>
      </c>
      <c r="K32" s="27" t="n">
        <v>2</v>
      </c>
      <c r="L32" s="27" t="n">
        <v>3</v>
      </c>
      <c r="M32" s="27" t="n">
        <v>3</v>
      </c>
      <c r="N32" s="27" t="n">
        <v>3</v>
      </c>
      <c r="O32" s="27" t="n">
        <v>4</v>
      </c>
      <c r="P32" s="27" t="n">
        <v>4</v>
      </c>
      <c r="Q32" s="27" t="n">
        <v>4</v>
      </c>
      <c r="R32" s="27" t="n">
        <v>5</v>
      </c>
      <c r="S32" s="27" t="n">
        <v>5</v>
      </c>
      <c r="T32" s="27" t="n">
        <v>5</v>
      </c>
      <c r="U32" s="27" t="n">
        <v>6</v>
      </c>
      <c r="V32" s="27" t="n">
        <v>7</v>
      </c>
    </row>
  </sheetData>
  <mergeCells count="1">
    <mergeCell ref="A1:Z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A1" sqref="A1:F1"/>
    </sheetView>
  </sheetViews>
  <sheetFormatPr baseColWidth="10" defaultColWidth="8.6640625" defaultRowHeight="15"/>
  <cols>
    <col width="40" customWidth="1" min="1" max="1"/>
    <col width="18" customWidth="1" min="2" max="6"/>
  </cols>
  <sheetData>
    <row r="1" ht="30" customHeight="1">
      <c r="A1" s="3" t="inlineStr">
        <is>
          <t>REKAB-COMPUTE — UNIT ECONOMICS BY SEGMENT</t>
        </is>
      </c>
    </row>
    <row r="2">
      <c r="A2" s="5" t="inlineStr">
        <is>
          <t>Conservative assumptions used. Blue = input. Calculated metrics in black.</t>
        </is>
      </c>
    </row>
    <row r="3">
      <c r="A3" s="28" t="inlineStr">
        <is>
          <t>Metric</t>
        </is>
      </c>
      <c r="B3" s="28" t="inlineStr">
        <is>
          <t>B2B API</t>
        </is>
      </c>
      <c r="C3" s="28" t="inlineStr">
        <is>
          <t>B2B Optical Retail</t>
        </is>
      </c>
      <c r="D3" s="28" t="inlineStr">
        <is>
          <t>B2C Consumer</t>
        </is>
      </c>
    </row>
    <row r="4">
      <c r="A4" s="29" t="inlineStr">
        <is>
          <t>Customer Acquisition Cost (CAC)</t>
        </is>
      </c>
      <c r="B4" s="30" t="n">
        <v>350</v>
      </c>
      <c r="C4" s="30" t="n">
        <v>4500</v>
      </c>
      <c r="D4" s="30" t="n">
        <v>20</v>
      </c>
    </row>
    <row r="5">
      <c r="A5" s="31" t="inlineStr">
        <is>
          <t>Avg Contract Value / ARPU (monthly)</t>
        </is>
      </c>
      <c r="B5" s="32" t="n">
        <v>75</v>
      </c>
      <c r="C5" s="32" t="n">
        <v>895</v>
      </c>
      <c r="D5" s="32" t="n">
        <v>3.99</v>
      </c>
    </row>
    <row r="6">
      <c r="A6" s="29" t="inlineStr">
        <is>
          <t>Avg Contract Value (annual)</t>
        </is>
      </c>
      <c r="B6" s="30" t="n">
        <v>900</v>
      </c>
      <c r="C6" s="30" t="n">
        <v>10740</v>
      </c>
      <c r="D6" s="30" t="n">
        <v>47.88</v>
      </c>
    </row>
    <row r="7">
      <c r="A7" s="31" t="inlineStr">
        <is>
          <t>Gross Margin</t>
        </is>
      </c>
      <c r="B7" s="33" t="n">
        <v>0.78</v>
      </c>
      <c r="C7" s="33" t="n">
        <v>0.82</v>
      </c>
      <c r="D7" s="33" t="n">
        <v>0.88</v>
      </c>
    </row>
    <row r="8">
      <c r="A8" s="29" t="inlineStr">
        <is>
          <t>Annual Churn Rate</t>
        </is>
      </c>
      <c r="B8" s="34" t="n">
        <v>0.15</v>
      </c>
      <c r="C8" s="34" t="n">
        <v>0.1</v>
      </c>
      <c r="D8" s="34" t="n">
        <v>0.4</v>
      </c>
    </row>
    <row r="9">
      <c r="A9" s="31" t="inlineStr">
        <is>
          <t>Average Customer Lifetime (years)</t>
        </is>
      </c>
      <c r="B9" s="35" t="n">
        <v>6.7</v>
      </c>
      <c r="C9" s="35" t="n">
        <v>10</v>
      </c>
      <c r="D9" s="35" t="n">
        <v>2.5</v>
      </c>
    </row>
    <row r="10">
      <c r="A10" s="29" t="inlineStr">
        <is>
          <t>Lifetime Value (LTV)</t>
        </is>
      </c>
      <c r="B10" s="12" t="n">
        <v>4680</v>
      </c>
      <c r="C10" s="12" t="n">
        <v>88068</v>
      </c>
      <c r="D10" s="12" t="n">
        <v>105.3</v>
      </c>
    </row>
    <row r="11">
      <c r="A11" s="31" t="inlineStr">
        <is>
          <t>LTV / CAC Ratio</t>
        </is>
      </c>
      <c r="B11" s="36" t="n">
        <v>13.4</v>
      </c>
      <c r="C11" s="36" t="n">
        <v>19.6</v>
      </c>
      <c r="D11" s="36" t="n">
        <v>5.3</v>
      </c>
    </row>
    <row r="12">
      <c r="A12" s="29" t="inlineStr">
        <is>
          <t>CAC Payback Period (months)</t>
        </is>
      </c>
      <c r="B12" s="37" t="n">
        <v>6</v>
      </c>
      <c r="C12" s="37" t="n">
        <v>6.1</v>
      </c>
      <c r="D12" s="37" t="n">
        <v>5.7</v>
      </c>
    </row>
    <row r="13"/>
    <row r="14">
      <c r="A14" s="5" t="inlineStr">
        <is>
          <t>Industry benchmark: LTV/CAC ≥ 3.0x is healthy; ≥ 5.0x is excellent. Target payback &lt; 18 months.</t>
        </is>
      </c>
    </row>
    <row r="15"/>
    <row r="16">
      <c r="A16" s="28" t="inlineStr">
        <is>
          <t>SERIES A READINESS TRIGGERS</t>
        </is>
      </c>
    </row>
    <row r="17">
      <c r="A17" s="31" t="inlineStr">
        <is>
          <t>MRR Target (Series A entry)</t>
        </is>
      </c>
      <c r="B17" s="38" t="inlineStr">
        <is>
          <t>$22,000 – $35,000 / month</t>
        </is>
      </c>
    </row>
    <row r="18">
      <c r="A18" s="29" t="inlineStr">
        <is>
          <t>Implied ARR at trigger</t>
        </is>
      </c>
      <c r="B18" s="39" t="inlineStr">
        <is>
          <t>$264,000 – $420,000</t>
        </is>
      </c>
      <c r="C18" s="11" t="n"/>
      <c r="D18" s="11" t="n"/>
    </row>
    <row r="19">
      <c r="A19" s="31" t="inlineStr">
        <is>
          <t>Gross Margin minimum</t>
        </is>
      </c>
      <c r="B19" s="38" t="inlineStr">
        <is>
          <t>≥ 70%</t>
        </is>
      </c>
    </row>
    <row r="20">
      <c r="A20" s="29" t="inlineStr">
        <is>
          <t>Month-over-month growth rate</t>
        </is>
      </c>
      <c r="B20" s="39" t="inlineStr">
        <is>
          <t>≥ 15% for 3 consecutive months</t>
        </is>
      </c>
      <c r="C20" s="11" t="n"/>
      <c r="D20" s="11" t="n"/>
    </row>
    <row r="21">
      <c r="A21" s="31" t="inlineStr">
        <is>
          <t>Conservative: Trigger reached</t>
        </is>
      </c>
      <c r="B21" s="38" t="inlineStr">
        <is>
          <t>~Month 24 (Year 2 Q4)</t>
        </is>
      </c>
    </row>
    <row r="22">
      <c r="A22" s="29" t="inlineStr">
        <is>
          <t>Aggressive: Trigger reached</t>
        </is>
      </c>
      <c r="B22" s="39" t="inlineStr">
        <is>
          <t>~Month 17 (Year 2 Q1-Q2)</t>
        </is>
      </c>
      <c r="C22" s="11" t="n"/>
      <c r="D22" s="11" t="n"/>
    </row>
    <row r="23">
      <c r="A23" s="31" t="inlineStr">
        <is>
          <t>Recommended raise size</t>
        </is>
      </c>
      <c r="B23" s="38" t="inlineStr">
        <is>
          <t>$2.5M – $4.0M</t>
        </is>
      </c>
    </row>
    <row r="24">
      <c r="A24" s="29" t="inlineStr">
        <is>
          <t>Preferred dilution target</t>
        </is>
      </c>
      <c r="B24" s="39" t="inlineStr">
        <is>
          <t>18% – 22%</t>
        </is>
      </c>
      <c r="C24" s="11" t="n"/>
      <c r="D24" s="11" t="n"/>
    </row>
    <row r="25">
      <c r="A25" s="31" t="inlineStr">
        <is>
          <t>Implied post-money valuation</t>
        </is>
      </c>
      <c r="B25" s="38" t="inlineStr">
        <is>
          <t>$11.4M – $22.2M (10–12× ARR)</t>
        </is>
      </c>
    </row>
  </sheetData>
  <mergeCells count="3">
    <mergeCell ref="A1:F1"/>
    <mergeCell ref="A16:D16"/>
    <mergeCell ref="A14:E14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4" sqref="D14"/>
    </sheetView>
  </sheetViews>
  <sheetFormatPr baseColWidth="10" defaultColWidth="8.6640625" defaultRowHeight="15"/>
  <cols>
    <col width="42" customWidth="1" min="1" max="1"/>
    <col width="20" customWidth="1" min="2" max="3"/>
    <col width="8" customWidth="1" min="4" max="4"/>
    <col width="20" customWidth="1" min="5" max="6"/>
  </cols>
  <sheetData>
    <row r="1" ht="30" customHeight="1">
      <c r="A1" s="3" t="inlineStr">
        <is>
          <t>REKAB-COMPUTE — FINANCIAL MODEL ASSUMPTIONS</t>
        </is>
      </c>
    </row>
    <row r="2"/>
    <row r="3">
      <c r="A3" s="40" t="inlineStr">
        <is>
          <t>SECTION 1 · FUNDING &amp; CAPITAL</t>
        </is>
      </c>
      <c r="B3" s="9" t="n"/>
      <c r="C3" s="9" t="n"/>
      <c r="D3" s="9" t="n"/>
      <c r="E3" s="9" t="n"/>
      <c r="F3" s="9" t="n"/>
    </row>
    <row r="4">
      <c r="A4" s="5" t="inlineStr">
        <is>
          <t>Source note: Pre-seed range based on founder intent; midpoints used in model.</t>
        </is>
      </c>
    </row>
    <row r="5">
      <c r="A5" s="41" t="inlineStr">
        <is>
          <t>Parameter</t>
        </is>
      </c>
      <c r="B5" s="41" t="inlineStr">
        <is>
          <t>Conservative</t>
        </is>
      </c>
      <c r="C5" s="41" t="inlineStr">
        <is>
          <t>Aggressive</t>
        </is>
      </c>
      <c r="D5" s="41" t="inlineStr">
        <is>
          <t>Units</t>
        </is>
      </c>
    </row>
    <row r="6">
      <c r="A6" s="42" t="inlineStr">
        <is>
          <t>Starting Capital</t>
        </is>
      </c>
      <c r="B6" s="32" t="n">
        <v>350000</v>
      </c>
      <c r="C6" s="32" t="n">
        <v>500000</v>
      </c>
      <c r="D6" t="inlineStr">
        <is>
          <t>$</t>
        </is>
      </c>
    </row>
    <row r="7">
      <c r="A7" s="42" t="inlineStr">
        <is>
          <t>Founder Annual Salary</t>
        </is>
      </c>
      <c r="B7" s="32" t="n">
        <v>60000</v>
      </c>
      <c r="C7" s="32" t="n">
        <v>60000</v>
      </c>
      <c r="D7" t="inlineStr">
        <is>
          <t>$</t>
        </is>
      </c>
    </row>
    <row r="8">
      <c r="A8" s="42" t="inlineStr">
        <is>
          <t>Benefits Load (employer)</t>
        </is>
      </c>
      <c r="B8" s="33" t="n">
        <v>0.2</v>
      </c>
      <c r="C8" s="33" t="n">
        <v>0.2</v>
      </c>
      <c r="D8" t="inlineStr">
        <is>
          <t>%</t>
        </is>
      </c>
    </row>
    <row r="9">
      <c r="A9" s="40" t="inlineStr">
        <is>
          <t>SECTION 2 · PRICING ARCHITECTURE</t>
        </is>
      </c>
      <c r="B9" s="9" t="n"/>
      <c r="C9" s="9" t="n"/>
      <c r="D9" s="9" t="n"/>
      <c r="E9" s="9" t="n"/>
      <c r="F9" s="9" t="n"/>
    </row>
    <row r="10">
      <c r="A10" s="41" t="inlineStr">
        <is>
          <t>B2B API Tiers</t>
        </is>
      </c>
    </row>
    <row r="11">
      <c r="A11" t="inlineStr">
        <is>
          <t xml:space="preserve">  Free</t>
        </is>
      </c>
      <c r="B11" t="inlineStr">
        <is>
          <t>$0</t>
        </is>
      </c>
      <c r="C11" t="inlineStr">
        <is>
          <t>100 sessions/mo</t>
        </is>
      </c>
    </row>
    <row r="12">
      <c r="A12" t="inlineStr">
        <is>
          <t xml:space="preserve">  Starter</t>
        </is>
      </c>
      <c r="B12" t="inlineStr">
        <is>
          <t>$49</t>
        </is>
      </c>
      <c r="C12" t="inlineStr">
        <is>
          <t>500 sessions/mo</t>
        </is>
      </c>
    </row>
    <row r="13">
      <c r="A13" t="inlineStr">
        <is>
          <t xml:space="preserve">  Growth</t>
        </is>
      </c>
      <c r="B13" t="inlineStr">
        <is>
          <t>$199</t>
        </is>
      </c>
      <c r="C13" t="inlineStr">
        <is>
          <t>3,000 sessions/mo</t>
        </is>
      </c>
    </row>
    <row r="14">
      <c r="A14" t="inlineStr">
        <is>
          <t xml:space="preserve">  Scale</t>
        </is>
      </c>
      <c r="B14" t="inlineStr">
        <is>
          <t>$499</t>
        </is>
      </c>
      <c r="C14" t="inlineStr">
        <is>
          <t>10,000 sessions/mo</t>
        </is>
      </c>
    </row>
    <row r="15">
      <c r="A15" t="inlineStr">
        <is>
          <t xml:space="preserve">  Enterprise (avg)</t>
        </is>
      </c>
      <c r="B15" t="inlineStr">
        <is>
          <t>$1,500</t>
        </is>
      </c>
      <c r="C15" t="inlineStr">
        <is>
          <t>Unlimited sessions/mo</t>
        </is>
      </c>
    </row>
    <row r="16">
      <c r="A16" s="42" t="inlineStr">
        <is>
          <t>Blended ARPU — API (Year 1)</t>
        </is>
      </c>
      <c r="B16" s="32" t="n">
        <v>75</v>
      </c>
      <c r="C16" s="32" t="n">
        <v>100</v>
      </c>
    </row>
    <row r="17">
      <c r="A17" s="42" t="inlineStr">
        <is>
          <t>Blended ARPU — API (Year 2)</t>
        </is>
      </c>
      <c r="B17" s="32" t="n">
        <v>120</v>
      </c>
      <c r="C17" s="32" t="n">
        <v>160</v>
      </c>
    </row>
    <row r="18">
      <c r="A18" s="42" t="inlineStr">
        <is>
          <t>Blended ARPU — API (Year 3)</t>
        </is>
      </c>
      <c r="B18" s="32" t="n">
        <v>160</v>
      </c>
      <c r="C18" s="32" t="n">
        <v>210</v>
      </c>
    </row>
    <row r="19">
      <c r="A19" s="42" t="inlineStr">
        <is>
          <t>B2B Optical Retail SaaS — per location/month</t>
        </is>
      </c>
      <c r="B19" s="32" t="n">
        <v>179</v>
      </c>
      <c r="C19" s="32" t="n">
        <v>179</v>
      </c>
    </row>
    <row r="20">
      <c r="A20" s="42" t="inlineStr">
        <is>
          <t>Avg locations per account</t>
        </is>
      </c>
      <c r="B20" s="27" t="n">
        <v>5</v>
      </c>
      <c r="C20" s="27" t="n">
        <v>5</v>
      </c>
    </row>
    <row r="21">
      <c r="A21" s="42" t="inlineStr">
        <is>
          <t>B2C Consumer — blended monthly ARPU</t>
        </is>
      </c>
      <c r="B21" s="32" t="n">
        <v>3.99</v>
      </c>
      <c r="C21" s="32" t="n">
        <v>3.99</v>
      </c>
    </row>
    <row r="22">
      <c r="A22" s="40" t="inlineStr">
        <is>
          <t>SECTION 3 · GROSS MARGINS</t>
        </is>
      </c>
      <c r="B22" s="9" t="n"/>
      <c r="C22" s="9" t="n"/>
      <c r="D22" s="9" t="n"/>
      <c r="E22" s="9" t="n"/>
      <c r="F22" s="9" t="n"/>
    </row>
    <row r="23">
      <c r="A23" s="42" t="inlineStr">
        <is>
          <t>B2B API</t>
        </is>
      </c>
      <c r="B23" s="33" t="n">
        <v>0.78</v>
      </c>
      <c r="C23" s="33" t="n">
        <v>0.78</v>
      </c>
    </row>
    <row r="24">
      <c r="A24" s="42" t="inlineStr">
        <is>
          <t>B2B Optical Retail SaaS</t>
        </is>
      </c>
      <c r="B24" s="33" t="n">
        <v>0.82</v>
      </c>
      <c r="C24" s="33" t="n">
        <v>0.82</v>
      </c>
    </row>
    <row r="25">
      <c r="A25" s="42" t="inlineStr">
        <is>
          <t>B2C Consumer</t>
        </is>
      </c>
      <c r="B25" s="33" t="n">
        <v>0.88</v>
      </c>
      <c r="C25" s="33" t="n">
        <v>0.88</v>
      </c>
    </row>
    <row r="26">
      <c r="A26" s="40" t="inlineStr">
        <is>
          <t>SECTION 4 · CUSTOMER GROWTH ASSUMPTIONS</t>
        </is>
      </c>
      <c r="B26" s="9" t="n"/>
      <c r="C26" s="9" t="n"/>
      <c r="D26" s="9" t="n"/>
      <c r="E26" s="9" t="n"/>
      <c r="F26" s="9" t="n"/>
    </row>
    <row r="27">
      <c r="A27" s="41" t="inlineStr">
        <is>
          <t>Period →</t>
        </is>
      </c>
      <c r="B27" s="43" t="inlineStr">
        <is>
          <t>Y1 End</t>
        </is>
      </c>
      <c r="C27" s="43" t="inlineStr">
        <is>
          <t>Y2 Q1</t>
        </is>
      </c>
      <c r="D27" s="43" t="inlineStr">
        <is>
          <t>Y2 Q2</t>
        </is>
      </c>
      <c r="E27" s="43" t="inlineStr">
        <is>
          <t>Y2 Q3</t>
        </is>
      </c>
      <c r="F27" s="43" t="inlineStr">
        <is>
          <t>Y2 Q4</t>
        </is>
      </c>
      <c r="G27" s="43" t="inlineStr">
        <is>
          <t>Y3 Q1</t>
        </is>
      </c>
      <c r="H27" s="43" t="inlineStr">
        <is>
          <t>Y3 Q2</t>
        </is>
      </c>
      <c r="I27" s="43" t="inlineStr">
        <is>
          <t>Y3 Q3</t>
        </is>
      </c>
      <c r="J27" s="43" t="inlineStr">
        <is>
          <t>Y3 Q4</t>
        </is>
      </c>
    </row>
    <row r="28">
      <c r="A28" s="44" t="inlineStr">
        <is>
          <t>CONSERVATIVE</t>
        </is>
      </c>
    </row>
    <row r="29">
      <c r="A29" s="42" t="inlineStr">
        <is>
          <t xml:space="preserve">  B2B API cumulative customers</t>
        </is>
      </c>
      <c r="B29" s="27" t="n">
        <v>33</v>
      </c>
      <c r="C29" s="27" t="n">
        <v>40</v>
      </c>
      <c r="D29" s="27" t="n">
        <v>52</v>
      </c>
      <c r="E29" s="27" t="n">
        <v>65</v>
      </c>
      <c r="F29" s="27" t="n">
        <v>80</v>
      </c>
      <c r="G29" s="27" t="n">
        <v>100</v>
      </c>
      <c r="H29" s="27" t="n">
        <v>130</v>
      </c>
      <c r="I29" s="27" t="n">
        <v>165</v>
      </c>
      <c r="J29" s="27" t="n">
        <v>200</v>
      </c>
    </row>
    <row r="30">
      <c r="A30" s="42" t="inlineStr">
        <is>
          <t xml:space="preserve">  B2B Optical Retail accounts</t>
        </is>
      </c>
      <c r="B30" s="27" t="n">
        <v>0</v>
      </c>
      <c r="C30" s="27" t="n">
        <v>2</v>
      </c>
      <c r="D30" s="27" t="n">
        <v>4</v>
      </c>
      <c r="E30" s="27" t="n">
        <v>6</v>
      </c>
      <c r="F30" s="27" t="n">
        <v>8</v>
      </c>
      <c r="G30" s="27" t="n">
        <v>12</v>
      </c>
      <c r="H30" s="27" t="n">
        <v>16</v>
      </c>
      <c r="I30" s="27" t="n">
        <v>20</v>
      </c>
      <c r="J30" s="27" t="n">
        <v>25</v>
      </c>
    </row>
    <row r="31">
      <c r="A31" s="42" t="inlineStr">
        <is>
          <t xml:space="preserve">  B2C paid users</t>
        </is>
      </c>
      <c r="B31" s="27" t="n">
        <v>0</v>
      </c>
      <c r="C31" s="27" t="n">
        <v>0</v>
      </c>
      <c r="D31" s="27" t="n">
        <v>0</v>
      </c>
      <c r="E31" s="27" t="n">
        <v>800</v>
      </c>
      <c r="F31" s="27" t="n">
        <v>2000</v>
      </c>
      <c r="G31" s="27" t="n">
        <v>4000</v>
      </c>
      <c r="H31" s="27" t="n">
        <v>5500</v>
      </c>
      <c r="I31" s="27" t="n">
        <v>7000</v>
      </c>
      <c r="J31" s="27" t="n">
        <v>9000</v>
      </c>
    </row>
    <row r="32">
      <c r="A32" s="44" t="inlineStr">
        <is>
          <t>AGGRESSIVE</t>
        </is>
      </c>
    </row>
    <row r="33">
      <c r="A33" s="42" t="inlineStr">
        <is>
          <t xml:space="preserve">  B2B API cumulative customers</t>
        </is>
      </c>
      <c r="B33" s="27" t="n">
        <v>60</v>
      </c>
      <c r="C33" s="27" t="n">
        <v>90</v>
      </c>
      <c r="D33" s="27" t="n">
        <v>130</v>
      </c>
      <c r="E33" s="27" t="n">
        <v>175</v>
      </c>
      <c r="F33" s="27" t="n">
        <v>220</v>
      </c>
      <c r="G33" s="27" t="n">
        <v>300</v>
      </c>
      <c r="H33" s="27" t="n">
        <v>380</v>
      </c>
      <c r="I33" s="27" t="n">
        <v>460</v>
      </c>
      <c r="J33" s="27" t="n">
        <v>550</v>
      </c>
    </row>
    <row r="34">
      <c r="A34" s="42" t="inlineStr">
        <is>
          <t xml:space="preserve">  B2B Optical Retail accounts</t>
        </is>
      </c>
      <c r="B34" s="27" t="n">
        <v>0</v>
      </c>
      <c r="C34" s="27" t="n">
        <v>3</v>
      </c>
      <c r="D34" s="27" t="n">
        <v>8</v>
      </c>
      <c r="E34" s="27" t="n">
        <v>15</v>
      </c>
      <c r="F34" s="27" t="n">
        <v>20</v>
      </c>
      <c r="G34" s="27" t="n">
        <v>30</v>
      </c>
      <c r="H34" s="27" t="n">
        <v>40</v>
      </c>
      <c r="I34" s="27" t="n">
        <v>50</v>
      </c>
      <c r="J34" s="27" t="n">
        <v>65</v>
      </c>
    </row>
    <row r="35">
      <c r="A35" s="42" t="inlineStr">
        <is>
          <t xml:space="preserve">  B2C paid users</t>
        </is>
      </c>
      <c r="B35" s="27" t="n">
        <v>0</v>
      </c>
      <c r="C35" s="27" t="n">
        <v>1500</v>
      </c>
      <c r="D35" s="27" t="n">
        <v>4000</v>
      </c>
      <c r="E35" s="27" t="n">
        <v>8000</v>
      </c>
      <c r="F35" s="27" t="n">
        <v>13000</v>
      </c>
      <c r="G35" s="27" t="n">
        <v>20000</v>
      </c>
      <c r="H35" s="27" t="n">
        <v>28000</v>
      </c>
      <c r="I35" s="27" t="n">
        <v>37000</v>
      </c>
      <c r="J35" s="27" t="n">
        <v>48000</v>
      </c>
    </row>
    <row r="36">
      <c r="A36" s="40" t="inlineStr">
        <is>
          <t>SECTION 5 · UNIT ECONOMICS ASSUMPTIONS</t>
        </is>
      </c>
      <c r="B36" s="9" t="n"/>
      <c r="C36" s="9" t="n"/>
      <c r="D36" s="9" t="n"/>
      <c r="E36" s="9" t="n"/>
      <c r="F36" s="9" t="n"/>
    </row>
    <row r="37">
      <c r="A37" s="41" t="inlineStr">
        <is>
          <t>Segment</t>
        </is>
      </c>
      <c r="B37" s="41" t="inlineStr">
        <is>
          <t>CAC ($)</t>
        </is>
      </c>
      <c r="C37" s="41" t="inlineStr">
        <is>
          <t>Avg LTV ($)</t>
        </is>
      </c>
      <c r="D37" s="41" t="inlineStr">
        <is>
          <t>Churn (ann.)</t>
        </is>
      </c>
    </row>
    <row r="38">
      <c r="A38" s="42" t="inlineStr">
        <is>
          <t xml:space="preserve">  B2B API</t>
        </is>
      </c>
      <c r="B38" s="32" t="n">
        <v>350</v>
      </c>
      <c r="C38" s="32" t="n">
        <v>4500</v>
      </c>
      <c r="D38" s="45" t="inlineStr">
        <is>
          <t>15%</t>
        </is>
      </c>
    </row>
    <row r="39">
      <c r="A39" s="42" t="inlineStr">
        <is>
          <t xml:space="preserve">  B2B SaaS (per account)</t>
        </is>
      </c>
      <c r="B39" s="32" t="n">
        <v>4500</v>
      </c>
      <c r="C39" s="32" t="n">
        <v>38000</v>
      </c>
      <c r="D39" s="45" t="inlineStr">
        <is>
          <t>10%</t>
        </is>
      </c>
    </row>
    <row r="40">
      <c r="A40" s="42" t="inlineStr">
        <is>
          <t xml:space="preserve">  B2C Consumer</t>
        </is>
      </c>
      <c r="B40" s="32" t="n">
        <v>20</v>
      </c>
      <c r="C40" s="32" t="n">
        <v>72</v>
      </c>
      <c r="D40" s="45" t="inlineStr">
        <is>
          <t>40%</t>
        </is>
      </c>
    </row>
    <row r="41"/>
    <row r="42">
      <c r="A42" s="5" t="inlineStr">
        <is>
          <t>Source: Rekab-Compute_PRD_v1.2.docx; Notes-insights.docx; internal assumptions. June 2026.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zoomScaleNormal="100" workbookViewId="0">
      <selection activeCell="A36" sqref="A36"/>
    </sheetView>
  </sheetViews>
  <sheetFormatPr baseColWidth="10" defaultColWidth="8.6640625" defaultRowHeight="15"/>
  <cols>
    <col width="42" customWidth="1" min="1" max="1"/>
    <col width="5" customWidth="1" min="2" max="2"/>
    <col width="16" customWidth="1" min="3" max="4"/>
    <col width="5" customWidth="1" min="5" max="5"/>
    <col width="16" customWidth="1" min="6" max="7"/>
    <col width="5" customWidth="1" min="8" max="8"/>
    <col width="16" customWidth="1" min="9" max="10"/>
  </cols>
  <sheetData>
    <row r="1" ht="30" customHeight="1">
      <c r="A1" s="3" t="inlineStr">
        <is>
          <t>REKAB-COMPUTE — SCENARIO COMPARISON SUMMARY</t>
        </is>
      </c>
    </row>
    <row r="2"/>
    <row r="3">
      <c r="A3" s="46" t="n"/>
      <c r="B3" s="46" t="n"/>
      <c r="C3" s="47" t="inlineStr">
        <is>
          <t>Year 1</t>
        </is>
      </c>
      <c r="D3" s="47" t="n"/>
      <c r="F3" s="47" t="inlineStr">
        <is>
          <t>Year 2</t>
        </is>
      </c>
      <c r="G3" s="47" t="n"/>
      <c r="I3" s="47" t="inlineStr">
        <is>
          <t>Year 3</t>
        </is>
      </c>
      <c r="J3" s="47" t="n"/>
    </row>
    <row r="4">
      <c r="C4" s="28" t="inlineStr">
        <is>
          <t>Conservative</t>
        </is>
      </c>
      <c r="D4" s="46" t="inlineStr">
        <is>
          <t>Aggressive</t>
        </is>
      </c>
      <c r="F4" s="28" t="inlineStr">
        <is>
          <t>Conservative</t>
        </is>
      </c>
      <c r="G4" s="46" t="inlineStr">
        <is>
          <t>Aggressive</t>
        </is>
      </c>
      <c r="I4" s="28" t="inlineStr">
        <is>
          <t>Conservative</t>
        </is>
      </c>
      <c r="J4" s="46" t="inlineStr">
        <is>
          <t>Aggressive</t>
        </is>
      </c>
    </row>
    <row r="5">
      <c r="A5" s="48" t="inlineStr">
        <is>
          <t>REVENUE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29" t="inlineStr">
        <is>
          <t>B2B API Revenue</t>
        </is>
      </c>
      <c r="B6" s="11" t="n"/>
      <c r="C6" s="12" t="n">
        <v>13275</v>
      </c>
      <c r="D6" s="12" t="n">
        <v>33500</v>
      </c>
      <c r="E6" s="11" t="n"/>
      <c r="F6" s="12" t="n">
        <v>85320</v>
      </c>
      <c r="G6" s="12" t="n">
        <v>295200</v>
      </c>
      <c r="H6" s="11" t="n"/>
      <c r="I6" s="12" t="n">
        <v>285600</v>
      </c>
      <c r="J6" s="12" t="n">
        <v>1064700</v>
      </c>
    </row>
    <row r="7">
      <c r="A7" s="31" t="inlineStr">
        <is>
          <t>B2B Optical Retail SaaS Revenue</t>
        </is>
      </c>
      <c r="C7" s="14" t="n">
        <v>0</v>
      </c>
      <c r="D7" s="14" t="n">
        <v>0</v>
      </c>
      <c r="F7" s="14" t="n">
        <v>53700</v>
      </c>
      <c r="G7" s="14" t="n">
        <v>123510</v>
      </c>
      <c r="I7" s="14" t="n">
        <v>196005</v>
      </c>
      <c r="J7" s="14" t="n">
        <v>496725</v>
      </c>
    </row>
    <row r="8">
      <c r="A8" s="29" t="inlineStr">
        <is>
          <t>B2C Consumer Revenue</t>
        </is>
      </c>
      <c r="B8" s="11" t="n"/>
      <c r="C8" s="12" t="n">
        <v>0</v>
      </c>
      <c r="D8" s="12" t="n">
        <v>0</v>
      </c>
      <c r="E8" s="11" t="n"/>
      <c r="F8" s="12" t="n">
        <v>33516</v>
      </c>
      <c r="G8" s="12" t="n">
        <v>317205</v>
      </c>
      <c r="H8" s="11" t="n"/>
      <c r="I8" s="12" t="n">
        <v>305235</v>
      </c>
      <c r="J8" s="12" t="n">
        <v>1592010</v>
      </c>
    </row>
    <row r="9">
      <c r="A9" s="49" t="inlineStr">
        <is>
          <t>Total Revenue</t>
        </is>
      </c>
      <c r="B9" s="16" t="n"/>
      <c r="C9" s="17" t="n">
        <v>13275</v>
      </c>
      <c r="D9" s="17" t="n">
        <v>33500</v>
      </c>
      <c r="E9" s="16" t="n"/>
      <c r="F9" s="17" t="n">
        <v>172536</v>
      </c>
      <c r="G9" s="17" t="n">
        <v>735915</v>
      </c>
      <c r="H9" s="16" t="n"/>
      <c r="I9" s="17" t="n">
        <v>786840</v>
      </c>
      <c r="J9" s="17" t="n">
        <v>3153435</v>
      </c>
    </row>
    <row r="10"/>
    <row r="11">
      <c r="A11" s="29" t="inlineStr">
        <is>
          <t>Total Cost of Revenue</t>
        </is>
      </c>
      <c r="B11" s="11" t="n"/>
      <c r="C11" s="12" t="n">
        <v>6600</v>
      </c>
      <c r="D11" s="12" t="n">
        <v>12600</v>
      </c>
      <c r="E11" s="11" t="n"/>
      <c r="F11" s="12" t="n">
        <v>32458</v>
      </c>
      <c r="G11" s="12" t="n">
        <v>125240</v>
      </c>
      <c r="H11" s="11" t="n"/>
      <c r="I11" s="12" t="n">
        <v>134741</v>
      </c>
      <c r="J11" s="12" t="n">
        <v>514686</v>
      </c>
    </row>
    <row r="12">
      <c r="A12" s="50" t="inlineStr">
        <is>
          <t>Gross Profit</t>
        </is>
      </c>
      <c r="C12" s="51" t="n">
        <v>6675</v>
      </c>
      <c r="D12" s="51" t="n">
        <v>20900</v>
      </c>
      <c r="F12" s="51" t="n">
        <v>140078</v>
      </c>
      <c r="G12" s="51" t="n">
        <v>610675</v>
      </c>
      <c r="I12" s="51" t="n">
        <v>652099</v>
      </c>
      <c r="J12" s="51" t="n">
        <v>2638749</v>
      </c>
    </row>
    <row r="13">
      <c r="A13" s="31" t="inlineStr">
        <is>
          <t>Gross Margin %</t>
        </is>
      </c>
      <c r="C13" s="21" t="n">
        <v>0.502824858757062</v>
      </c>
      <c r="D13" s="21" t="n">
        <v>0.623880597014925</v>
      </c>
      <c r="F13" s="21" t="n">
        <v>0.811875086938378</v>
      </c>
      <c r="G13" s="21" t="n">
        <v>0.829816758728929</v>
      </c>
      <c r="I13" s="21" t="n">
        <v>0.828756672258655</v>
      </c>
      <c r="J13" s="21" t="n">
        <v>0.836785695598609</v>
      </c>
    </row>
    <row r="14"/>
    <row r="15">
      <c r="A15" s="29" t="inlineStr">
        <is>
          <t>Total Operating Expenses</t>
        </is>
      </c>
      <c r="B15" s="11" t="n"/>
      <c r="C15" s="12" t="n">
        <v>135700</v>
      </c>
      <c r="D15" s="12" t="n">
        <v>193500</v>
      </c>
      <c r="E15" s="11" t="n"/>
      <c r="F15" s="12" t="n">
        <v>319200</v>
      </c>
      <c r="G15" s="12" t="n">
        <v>585000</v>
      </c>
      <c r="H15" s="11" t="n"/>
      <c r="I15" s="12" t="n">
        <v>514400</v>
      </c>
      <c r="J15" s="12" t="n">
        <v>902800</v>
      </c>
    </row>
    <row r="16">
      <c r="A16" s="49" t="inlineStr">
        <is>
          <t>EBITDA</t>
        </is>
      </c>
      <c r="B16" s="16" t="n"/>
      <c r="C16" s="52" t="n">
        <v>-129025</v>
      </c>
      <c r="D16" s="52" t="n">
        <v>-172600</v>
      </c>
      <c r="E16" s="16" t="n"/>
      <c r="F16" s="52" t="n">
        <v>-179122</v>
      </c>
      <c r="G16" s="53" t="n">
        <v>25675</v>
      </c>
      <c r="H16" s="16" t="n"/>
      <c r="I16" s="53" t="n">
        <v>137699</v>
      </c>
      <c r="J16" s="53" t="n">
        <v>1735949</v>
      </c>
    </row>
    <row r="17"/>
    <row r="18">
      <c r="A18" s="48" t="inlineStr">
        <is>
          <t>CASH METRICS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29" t="inlineStr">
        <is>
          <t>Starting Capital</t>
        </is>
      </c>
      <c r="B19" s="11" t="n"/>
      <c r="C19" s="12" t="n">
        <v>350000</v>
      </c>
      <c r="D19" s="12" t="n">
        <v>500000</v>
      </c>
      <c r="E19" s="11" t="n"/>
      <c r="F19" s="12" t="n">
        <v>350000</v>
      </c>
      <c r="G19" s="12" t="n">
        <v>500000</v>
      </c>
      <c r="H19" s="11" t="n"/>
      <c r="I19" s="12" t="n"/>
      <c r="J19" s="12" t="n"/>
    </row>
    <row r="20">
      <c r="A20" s="31" t="inlineStr">
        <is>
          <t>Ending Cash Balance (Year End)</t>
        </is>
      </c>
      <c r="C20" s="14" t="n">
        <v>220975</v>
      </c>
      <c r="D20" s="14" t="n">
        <v>327400</v>
      </c>
      <c r="F20" s="14" t="n">
        <v>41853</v>
      </c>
      <c r="G20" s="14" t="n">
        <v>353075</v>
      </c>
      <c r="I20" s="14" t="n">
        <v>179552</v>
      </c>
      <c r="J20" s="14" t="n">
        <v>2089024</v>
      </c>
    </row>
    <row r="21"/>
    <row r="22">
      <c r="A22" s="48" t="inlineStr">
        <is>
          <t>KEY METRICS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29" t="inlineStr">
        <is>
          <t>B2B API Customers (end of year)</t>
        </is>
      </c>
      <c r="B23" s="11" t="n"/>
      <c r="C23" s="54" t="n">
        <v>33</v>
      </c>
      <c r="D23" s="54" t="n">
        <v>60</v>
      </c>
      <c r="E23" s="11" t="n"/>
      <c r="F23" s="54" t="n">
        <v>80</v>
      </c>
      <c r="G23" s="54" t="n">
        <v>220</v>
      </c>
      <c r="H23" s="11" t="n"/>
      <c r="I23" s="54" t="n">
        <v>200</v>
      </c>
      <c r="J23" s="54" t="n">
        <v>550</v>
      </c>
    </row>
    <row r="24">
      <c r="A24" s="31" t="inlineStr">
        <is>
          <t>B2B SaaS Accounts (end of year)</t>
        </is>
      </c>
      <c r="C24" s="55" t="n">
        <v>0</v>
      </c>
      <c r="D24" s="55" t="n">
        <v>0</v>
      </c>
      <c r="F24" s="55" t="n">
        <v>8</v>
      </c>
      <c r="G24" s="55" t="n">
        <v>20</v>
      </c>
      <c r="I24" s="55" t="n">
        <v>25</v>
      </c>
      <c r="J24" s="55" t="n">
        <v>65</v>
      </c>
    </row>
    <row r="25">
      <c r="A25" s="29" t="inlineStr">
        <is>
          <t>B2C Paid Users (end of year)</t>
        </is>
      </c>
      <c r="B25" s="11" t="n"/>
      <c r="C25" s="54" t="n">
        <v>0</v>
      </c>
      <c r="D25" s="54" t="n">
        <v>0</v>
      </c>
      <c r="E25" s="11" t="n"/>
      <c r="F25" s="54" t="n">
        <v>2000</v>
      </c>
      <c r="G25" s="54" t="n">
        <v>13000</v>
      </c>
      <c r="H25" s="11" t="n"/>
      <c r="I25" s="54" t="n">
        <v>9000</v>
      </c>
      <c r="J25" s="54" t="n">
        <v>48000</v>
      </c>
    </row>
    <row r="26">
      <c r="A26" s="31" t="inlineStr">
        <is>
          <t>End-of-Year MRR (run rate)</t>
        </is>
      </c>
      <c r="C26" s="14" t="n">
        <v>2250</v>
      </c>
      <c r="D26" s="14" t="n">
        <v>5600</v>
      </c>
      <c r="F26" s="14" t="n">
        <v>50922</v>
      </c>
      <c r="G26" s="14" t="n">
        <v>222235</v>
      </c>
      <c r="I26" s="14" t="n">
        <v>219580</v>
      </c>
      <c r="J26" s="14" t="n">
        <v>881495</v>
      </c>
    </row>
    <row r="27">
      <c r="A27" s="29" t="inlineStr">
        <is>
          <t>Implied ARR (end of year × 12)</t>
        </is>
      </c>
      <c r="B27" s="11" t="n"/>
      <c r="C27" s="12" t="n">
        <v>27000</v>
      </c>
      <c r="D27" s="12" t="n">
        <v>67200</v>
      </c>
      <c r="E27" s="11" t="n"/>
      <c r="F27" s="12" t="n">
        <v>611064</v>
      </c>
      <c r="G27" s="12" t="n">
        <v>2666820</v>
      </c>
      <c r="H27" s="11" t="n"/>
      <c r="I27" s="12" t="n">
        <v>2634960</v>
      </c>
      <c r="J27" s="12" t="n">
        <v>10577940</v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2026-06-09T15:21:01Z</dcterms:created>
  <dcterms:modified xmlns:dcterms="http://purl.org/dc/terms/" xmlns:xsi="http://www.w3.org/2001/XMLSchema-instance" xsi:type="dcterms:W3CDTF">2026-06-10T15:56:32Z</dcterms:modified>
  <cp:lastModifiedBy>Jason Baker</cp:lastModifiedBy>
  <cp:revision>0</cp:revision>
</cp:coreProperties>
</file>

<file path=docProps/custom.xml><?xml version="1.0" encoding="utf-8"?>
<Properties xmlns="http://schemas.openxmlformats.org/officeDocument/2006/custom-properties">
  <property name="MSIP_Label_8460d26b-e0ab-4051-af3f-f83f6411bd05_Enabled" fmtid="{D5CDD505-2E9C-101B-9397-08002B2CF9AE}" pid="2">
    <vt:lpwstr xmlns:vt="http://schemas.openxmlformats.org/officeDocument/2006/docPropsVTypes">true</vt:lpwstr>
  </property>
  <property name="MSIP_Label_8460d26b-e0ab-4051-af3f-f83f6411bd05_SetDate" fmtid="{D5CDD505-2E9C-101B-9397-08002B2CF9AE}" pid="3">
    <vt:lpwstr xmlns:vt="http://schemas.openxmlformats.org/officeDocument/2006/docPropsVTypes">2026-06-09T15:36:42Z</vt:lpwstr>
  </property>
  <property name="MSIP_Label_8460d26b-e0ab-4051-af3f-f83f6411bd05_Method" fmtid="{D5CDD505-2E9C-101B-9397-08002B2CF9AE}" pid="4">
    <vt:lpwstr xmlns:vt="http://schemas.openxmlformats.org/officeDocument/2006/docPropsVTypes">Standard</vt:lpwstr>
  </property>
  <property name="MSIP_Label_8460d26b-e0ab-4051-af3f-f83f6411bd05_Name" fmtid="{D5CDD505-2E9C-101B-9397-08002B2CF9AE}" pid="5">
    <vt:lpwstr xmlns:vt="http://schemas.openxmlformats.org/officeDocument/2006/docPropsVTypes">Internal</vt:lpwstr>
  </property>
  <property name="MSIP_Label_8460d26b-e0ab-4051-af3f-f83f6411bd05_SiteId" fmtid="{D5CDD505-2E9C-101B-9397-08002B2CF9AE}" pid="6">
    <vt:lpwstr xmlns:vt="http://schemas.openxmlformats.org/officeDocument/2006/docPropsVTypes">30b161a8-bda4-4091-9334-2553cbe29c3e</vt:lpwstr>
  </property>
  <property name="MSIP_Label_8460d26b-e0ab-4051-af3f-f83f6411bd05_ActionId" fmtid="{D5CDD505-2E9C-101B-9397-08002B2CF9AE}" pid="7">
    <vt:lpwstr xmlns:vt="http://schemas.openxmlformats.org/officeDocument/2006/docPropsVTypes">60008de2-fe05-4cc3-a938-8513377397e9</vt:lpwstr>
  </property>
  <property name="MSIP_Label_8460d26b-e0ab-4051-af3f-f83f6411bd05_ContentBits" fmtid="{D5CDD505-2E9C-101B-9397-08002B2CF9AE}" pid="8">
    <vt:lpwstr xmlns:vt="http://schemas.openxmlformats.org/officeDocument/2006/docPropsVTypes">0</vt:lpwstr>
  </property>
  <property name="MSIP_Label_8460d26b-e0ab-4051-af3f-f83f6411bd05_Tag" fmtid="{D5CDD505-2E9C-101B-9397-08002B2CF9AE}" pid="9">
    <vt:lpwstr xmlns:vt="http://schemas.openxmlformats.org/officeDocument/2006/docPropsVTypes">50, 3, 0, 1</vt:lpwstr>
  </property>
</Properties>
</file>